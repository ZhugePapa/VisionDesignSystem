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路线图仪表盘" sheetId="1" state="visible" r:id="rId1"/>
    <sheet xmlns:r="http://schemas.openxmlformats.org/officeDocument/2006/relationships" name="全部功能路线图" sheetId="2" state="visible" r:id="rId2"/>
    <sheet xmlns:r="http://schemas.openxmlformats.org/officeDocument/2006/relationships" name="枚举字典" sheetId="3" state="visible" r:id="rId3"/>
    <sheet xmlns:r="http://schemas.openxmlformats.org/officeDocument/2006/relationships" name="里程碑" sheetId="4" state="visible" r:id="rId4"/>
    <sheet xmlns:r="http://schemas.openxmlformats.org/officeDocument/2006/relationships" name="字段说明" sheetId="5" state="visible" r:id="rId5"/>
  </sheets>
  <definedNames>
    <definedName name="_xlnm._FilterDatabase" localSheetId="1" hidden="1">'全部功能路线图'!$A$4:$AC$84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334155"/>
      <sz val="10"/>
    </font>
    <font>
      <name val="Arial"/>
      <b val="1"/>
      <color rgb="00FFFFFF"/>
      <sz val="10"/>
    </font>
    <font>
      <name val="Arial"/>
      <color rgb="00334155"/>
      <sz val="9"/>
    </font>
    <font>
      <name val="Calibri"/>
      <family val="2"/>
      <color theme="10"/>
      <sz val="12"/>
      <scheme val="minor"/>
    </font>
    <font>
      <b val="1"/>
      <color rgb="00FFFFFF"/>
    </font>
    <font>
      <b val="1"/>
      <color rgb="00FFFFFF"/>
      <sz val="10"/>
    </font>
    <font>
      <b val="1"/>
      <color rgb="00172554"/>
      <sz val="22"/>
    </font>
    <font>
      <b val="1"/>
      <color rgb="0016A34A"/>
      <sz val="22"/>
    </font>
    <font>
      <b val="1"/>
      <color rgb="00D97706"/>
      <sz val="22"/>
    </font>
    <font>
      <b val="1"/>
      <color rgb="00DC2626"/>
      <sz val="22"/>
    </font>
    <font>
      <b val="1"/>
      <color rgb="00172554"/>
      <sz val="12"/>
    </font>
    <font>
      <color rgb="00334155"/>
      <sz val="10"/>
    </font>
  </fonts>
  <fills count="10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DBEAFE"/>
      </patternFill>
    </fill>
    <fill>
      <patternFill patternType="solid">
        <fgColor rgb="001E3A8A"/>
      </patternFill>
    </fill>
    <fill>
      <patternFill patternType="solid">
        <fgColor rgb="00F8FAFC"/>
      </patternFill>
    </fill>
    <fill>
      <patternFill patternType="solid">
        <fgColor rgb="0016A34A"/>
      </patternFill>
    </fill>
    <fill>
      <patternFill patternType="solid">
        <fgColor rgb="00D97706"/>
      </patternFill>
    </fill>
    <fill>
      <patternFill patternType="solid">
        <fgColor rgb="00DC2626"/>
      </patternFill>
    </fill>
    <fill>
      <patternFill patternType="solid">
        <fgColor rgb="00F1F5F9"/>
      </patternFill>
    </fill>
  </fills>
  <borders count="4">
    <border>
      <left/>
      <right/>
      <top/>
      <bottom/>
      <diagonal/>
    </border>
    <border>
      <bottom style="thin">
        <color rgb="00FFFFFF"/>
      </bottom>
    </border>
    <border>
      <bottom style="hair">
        <color rgb="00E2E8F0"/>
      </bottom>
    </border>
    <border>
      <bottom style="thin">
        <color rgb="00E2E8F0"/>
      </bottom>
    </border>
  </borders>
  <cellStyleXfs count="2">
    <xf numFmtId="0" fontId="0" fillId="0" borderId="0"/>
    <xf numFmtId="0" fontId="5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5" borderId="0" applyAlignment="1" pivotButton="0" quotePrefix="0" xfId="0">
      <alignment vertical="top" wrapText="1"/>
    </xf>
    <xf numFmtId="0" fontId="13" fillId="9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0" fontId="5" fillId="0" borderId="0" pivotButton="0" quotePrefix="0" xfId="1"/>
    <xf numFmtId="0" fontId="6" fillId="4" borderId="0" pivotButton="0" quotePrefix="0" xfId="0"/>
    <xf numFmtId="0" fontId="0" fillId="0" borderId="3" applyAlignment="1" pivotButton="0" quotePrefix="0" xfId="0">
      <alignment vertical="top" wrapText="1"/>
    </xf>
    <xf numFmtId="164" fontId="0" fillId="0" borderId="3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11">
    <dxf>
      <font>
        <b val="1"/>
        <color rgb="0016A34A"/>
      </font>
      <fill>
        <patternFill patternType="solid">
          <fgColor rgb="00DCFCE7"/>
        </patternFill>
      </fill>
    </dxf>
    <dxf>
      <font>
        <b val="1"/>
        <color rgb="002563EB"/>
      </font>
      <fill>
        <patternFill patternType="solid">
          <fgColor rgb="00DBEAFE"/>
        </patternFill>
      </fill>
    </dxf>
    <dxf>
      <font>
        <b val="1"/>
        <color rgb="00D97706"/>
      </font>
      <fill>
        <patternFill patternType="solid">
          <fgColor rgb="00FEF3C7"/>
        </patternFill>
      </fill>
    </dxf>
    <dxf>
      <font>
        <b val="1"/>
        <color rgb="00334155"/>
      </font>
      <fill>
        <patternFill patternType="solid">
          <fgColor rgb="00F1F5F9"/>
        </patternFill>
      </fill>
    </dxf>
    <dxf>
      <font>
        <b val="1"/>
        <color rgb="0064748B"/>
      </font>
      <fill>
        <patternFill patternType="solid">
          <fgColor rgb="00F1F5F9"/>
        </patternFill>
      </fill>
    </dxf>
    <dxf>
      <font>
        <b val="1"/>
        <color rgb="00DC2626"/>
      </font>
      <fill>
        <patternFill patternType="solid">
          <fgColor rgb="00FEE2E2"/>
        </patternFill>
      </fill>
    </dxf>
    <dxf>
      <font>
        <b val="1"/>
        <color rgb="0064748B"/>
      </font>
      <fill>
        <patternFill patternType="solid">
          <fgColor rgb="00E2E8F0"/>
        </patternFill>
      </fill>
    </dxf>
    <dxf>
      <font>
        <b val="1"/>
      </font>
      <fill>
        <patternFill patternType="solid">
          <fgColor rgb="00FEE2E2"/>
        </patternFill>
      </fill>
    </dxf>
    <dxf>
      <font>
        <b val="1"/>
      </font>
      <fill>
        <patternFill patternType="solid">
          <fgColor rgb="00FEF3C7"/>
        </patternFill>
      </fill>
    </dxf>
    <dxf>
      <font>
        <b val="1"/>
      </font>
      <fill>
        <patternFill patternType="solid">
          <fgColor rgb="00DBEAFE"/>
        </patternFill>
      </fill>
    </dxf>
    <dxf>
      <font>
        <b val="1"/>
      </font>
      <fill>
        <patternFill patternType="solid">
          <f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状态分布</a:t>
            </a:r>
          </a:p>
        </rich>
      </tx>
    </title>
    <plotArea>
      <doughnutChart>
        <varyColors val="1"/>
        <ser>
          <idx val="0"/>
          <order val="0"/>
          <tx>
            <strRef>
              <f>'路线图仪表盘'!C9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'路线图仪表盘'!$B$10:$B$17</f>
            </numRef>
          </cat>
          <val>
            <numRef>
              <f>'路线图仪表盘'!$C$10:$C$17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各模块功能数量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'路线图仪表盘'!F9</f>
            </strRef>
          </tx>
          <spPr>
            <a:ln xmlns:a="http://schemas.openxmlformats.org/drawingml/2006/main">
              <a:prstDash val="solid"/>
            </a:ln>
          </spPr>
          <cat>
            <numRef>
              <f>'路线图仪表盘'!$E$10:$E$19</f>
            </numRef>
          </cat>
          <val>
            <numRef>
              <f>'路线图仪表盘'!$F$10:$F$19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8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23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emoRoadmap" displayName="DemoRoadmap" ref="A4:AC84" headerRowCount="1">
  <autoFilter ref="A4:AC84"/>
  <tableColumns count="29">
    <tableColumn id="1" name="功能编号"/>
    <tableColumn id="2" name="一级模块"/>
    <tableColumn id="3" name="二级模块"/>
    <tableColumn id="4" name="功能名称"/>
    <tableColumn id="5" name="类型"/>
    <tableColumn id="6" name="核心演示路径"/>
    <tableColumn id="7" name="实现边界"/>
    <tableColumn id="8" name="使用场景与价值"/>
    <tableColumn id="9" name="需求来源"/>
    <tableColumn id="10" name="需求部门"/>
    <tableColumn id="11" name="优先级"/>
    <tableColumn id="12" name="状态"/>
    <tableColumn id="13" name="当前成熟度"/>
    <tableColumn id="14" name="目标成熟度"/>
    <tableColumn id="15" name="当前实现说明"/>
    <tableColumn id="16" name="下一步动作"/>
    <tableColumn id="17" name="负责人"/>
    <tableColumn id="18" name="协作角色"/>
    <tableColumn id="19" name="计划版本"/>
    <tableColumn id="20" name="排期状态"/>
    <tableColumn id="21" name="目标完成时间"/>
    <tableColumn id="22" name="设计稿"/>
    <tableColumn id="23" name="Demo 入口"/>
    <tableColumn id="24" name="验收标准"/>
    <tableColumn id="25" name="依赖与风险"/>
    <tableColumn id="26" name="最新进展／阻塞项"/>
    <tableColumn id="27" name="验收结果"/>
    <tableColumn id="28" name="实际完成时间"/>
    <tableColumn id="29" name="最后更新时间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DemoMilestones" displayName="DemoMilestones" ref="A4:F9" headerRowCount="1">
  <autoFilter ref="A4:F9"/>
  <tableColumns count="6">
    <tableColumn id="1" name="版本"/>
    <tableColumn id="2" name="主题"/>
    <tableColumn id="3" name="建议完成时间"/>
    <tableColumn id="4" name="排期状态"/>
    <tableColumn id="5" name="主要范围"/>
    <tableColumn id="6" name="里程碑验收目标"/>
  </tableColumns>
  <tableStyleInfo name="TableStyleMedium2" showRowStripes="1"/>
</table>
</file>

<file path=xl/tables/table3.xml><?xml version="1.0" encoding="utf-8"?>
<table xmlns="http://schemas.openxmlformats.org/spreadsheetml/2006/main" id="3" name="RoadmapFieldGuide" displayName="RoadmapFieldGuide" ref="A4:D33" headerRowCount="1">
  <autoFilter ref="A4:D33"/>
  <tableColumns count="4">
    <tableColumn id="1" name="字段"/>
    <tableColumn id="2" name="建议类型"/>
    <tableColumn id="3" name="填写说明"/>
    <tableColumn id="4" name="要求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://127.0.0.1:5173/demo/#/projects/lighting/overview" TargetMode="External" Id="rId1"/><Relationship Type="http://schemas.openxmlformats.org/officeDocument/2006/relationships/hyperlink" Target="http://127.0.0.1:5173/demo/#/projects/lighting/overview" TargetMode="External" Id="rId2"/><Relationship Type="http://schemas.openxmlformats.org/officeDocument/2006/relationships/hyperlink" Target="http://127.0.0.1:5173/demo/#/projects/lighting/overview" TargetMode="External" Id="rId3"/><Relationship Type="http://schemas.openxmlformats.org/officeDocument/2006/relationships/hyperlink" Target="http://127.0.0.1:5173/demo/#/projects/lighting/code/repositories/flight-control-core" TargetMode="External" Id="rId4"/><Relationship Type="http://schemas.openxmlformats.org/officeDocument/2006/relationships/hyperlink" Target="http://127.0.0.1:5173/demo/#/projects/lighting/overview" TargetMode="External" Id="rId5"/><Relationship Type="http://schemas.openxmlformats.org/officeDocument/2006/relationships/hyperlink" Target="http://127.0.0.1:5173/demo/#/projects/lighting/code/repositories/flight-control-core" TargetMode="External" Id="rId6"/><Relationship Type="http://schemas.openxmlformats.org/officeDocument/2006/relationships/hyperlink" Target="http://127.0.0.1:5173/demo/#/projects/lighting/code/repositories/flight-control-core" TargetMode="External" Id="rId7"/><Relationship Type="http://schemas.openxmlformats.org/officeDocument/2006/relationships/hyperlink" Target="http://127.0.0.1:5173/demo/#/projects/lighting/overview" TargetMode="External" Id="rId8"/><Relationship Type="http://schemas.openxmlformats.org/officeDocument/2006/relationships/hyperlink" Target="http://127.0.0.1:5173/demo/#/projects/lighting/management" TargetMode="External" Id="rId9"/><Relationship Type="http://schemas.openxmlformats.org/officeDocument/2006/relationships/hyperlink" Target="http://127.0.0.1:5173/demo/#/projects/lighting/requirements" TargetMode="External" Id="rId10"/><Relationship Type="http://schemas.openxmlformats.org/officeDocument/2006/relationships/hyperlink" Target="http://127.0.0.1:5173/demo/#/projects/lighting/settings" TargetMode="External" Id="rId11"/><Relationship Type="http://schemas.openxmlformats.org/officeDocument/2006/relationships/hyperlink" Target="http://127.0.0.1:5173/demo/#/projects/lighting/code/repositories" TargetMode="External" Id="rId12"/><Relationship Type="http://schemas.openxmlformats.org/officeDocument/2006/relationships/hyperlink" Target="http://127.0.0.1:5173/demo/#/projects/lighting/code/repositories" TargetMode="External" Id="rId13"/><Relationship Type="http://schemas.openxmlformats.org/officeDocument/2006/relationships/hyperlink" Target="http://127.0.0.1:5173/demo/#/projects/lighting/code/repositories" TargetMode="External" Id="rId14"/><Relationship Type="http://schemas.openxmlformats.org/officeDocument/2006/relationships/hyperlink" Target="http://127.0.0.1:5173/demo/#/projects/lighting/code/repositories" TargetMode="External" Id="rId15"/><Relationship Type="http://schemas.openxmlformats.org/officeDocument/2006/relationships/hyperlink" Target="http://127.0.0.1:5173/demo/#/projects/lighting/code/repositories/flight-control-core" TargetMode="External" Id="rId16"/><Relationship Type="http://schemas.openxmlformats.org/officeDocument/2006/relationships/hyperlink" Target="https://www.figma.com/design/AH5UD6NGdbtqy2z4o9k7QW/%E8%BD%AF%E4%BB%B6%E5%B7%A5%E5%8E%82?node-id=524-35227" TargetMode="External" Id="rId17"/><Relationship Type="http://schemas.openxmlformats.org/officeDocument/2006/relationships/hyperlink" Target="http://127.0.0.1:5173/demo/#/projects/lighting/code/repositories/flight-control-core" TargetMode="External" Id="rId18"/><Relationship Type="http://schemas.openxmlformats.org/officeDocument/2006/relationships/hyperlink" Target="https://www.figma.com/design/AH5UD6NGdbtqy2z4o9k7QW/%E8%BD%AF%E4%BB%B6%E5%B7%A5%E5%8E%82?node-id=524-35243" TargetMode="External" Id="rId19"/><Relationship Type="http://schemas.openxmlformats.org/officeDocument/2006/relationships/hyperlink" Target="http://127.0.0.1:5173/demo/#/projects/lighting/code/repositories/flight-control-core" TargetMode="External" Id="rId20"/><Relationship Type="http://schemas.openxmlformats.org/officeDocument/2006/relationships/hyperlink" Target="http://127.0.0.1:5173/demo/#/projects/lighting/code/repositories/flight-control-core" TargetMode="External" Id="rId21"/><Relationship Type="http://schemas.openxmlformats.org/officeDocument/2006/relationships/hyperlink" Target="https://www.figma.com/design/AH5UD6NGdbtqy2z4o9k7QW/%E8%BD%AF%E4%BB%B6%E5%B7%A5%E5%8E%82?node-id=475-4006" TargetMode="External" Id="rId22"/><Relationship Type="http://schemas.openxmlformats.org/officeDocument/2006/relationships/hyperlink" Target="http://127.0.0.1:5173/demo/#/projects/lighting/code/repositories/flight-control-core" TargetMode="External" Id="rId23"/><Relationship Type="http://schemas.openxmlformats.org/officeDocument/2006/relationships/hyperlink" Target="https://www.figma.com/design/AH5UD6NGdbtqy2z4o9k7QW/%E8%BD%AF%E4%BB%B6%E5%B7%A5%E5%8E%82?node-id=524-35732" TargetMode="External" Id="rId24"/><Relationship Type="http://schemas.openxmlformats.org/officeDocument/2006/relationships/hyperlink" Target="http://127.0.0.1:5173/demo/#/projects/lighting/code/repositories/flight-control-core" TargetMode="External" Id="rId25"/><Relationship Type="http://schemas.openxmlformats.org/officeDocument/2006/relationships/hyperlink" Target="https://www.figma.com/design/AH5UD6NGdbtqy2z4o9k7QW/%E8%BD%AF%E4%BB%B6%E5%B7%A5%E5%8E%82?node-id=486-5192" TargetMode="External" Id="rId26"/><Relationship Type="http://schemas.openxmlformats.org/officeDocument/2006/relationships/hyperlink" Target="http://127.0.0.1:5173/demo/#/projects/lighting/code/repositories/flight-control-core/commits?branch=main" TargetMode="External" Id="rId27"/><Relationship Type="http://schemas.openxmlformats.org/officeDocument/2006/relationships/hyperlink" Target="https://www.figma.com/design/AH5UD6NGdbtqy2z4o9k7QW/%E8%BD%AF%E4%BB%B6%E5%B7%A5%E5%8E%82?node-id=486-5192" TargetMode="External" Id="rId28"/><Relationship Type="http://schemas.openxmlformats.org/officeDocument/2006/relationships/hyperlink" Target="https://www.figma.com/design/AH5UD6NGdbtqy2z4o9k7QW/%E8%BD%AF%E4%BB%B6%E5%B7%A5%E5%8E%82?node-id=494-33747" TargetMode="External" Id="rId29"/><Relationship Type="http://schemas.openxmlformats.org/officeDocument/2006/relationships/hyperlink" Target="http://127.0.0.1:5173/demo/#/projects/lighting/code/repositories/flight-control-core/branches" TargetMode="External" Id="rId30"/><Relationship Type="http://schemas.openxmlformats.org/officeDocument/2006/relationships/hyperlink" Target="https://www.figma.com/design/AH5UD6NGdbtqy2z4o9k7QW/%E8%BD%AF%E4%BB%B6%E5%B7%A5%E5%8E%82?node-id=524-35535" TargetMode="External" Id="rId31"/><Relationship Type="http://schemas.openxmlformats.org/officeDocument/2006/relationships/hyperlink" Target="http://127.0.0.1:5173/demo/#/projects/lighting/code/repositories/flight-control-core/branches" TargetMode="External" Id="rId32"/><Relationship Type="http://schemas.openxmlformats.org/officeDocument/2006/relationships/hyperlink" Target="http://127.0.0.1:5173/demo/#/projects/lighting/code/repositories/flight-control-core/branches" TargetMode="External" Id="rId33"/><Relationship Type="http://schemas.openxmlformats.org/officeDocument/2006/relationships/hyperlink" Target="https://www.figma.com/design/AH5UD6NGdbtqy2z4o9k7QW/%E8%BD%AF%E4%BB%B6%E5%B7%A5%E5%8E%82?node-id=519-5677" TargetMode="External" Id="rId34"/><Relationship Type="http://schemas.openxmlformats.org/officeDocument/2006/relationships/hyperlink" Target="http://127.0.0.1:5173/demo/#/projects/lighting/code/repositories/flight-control-core/tags" TargetMode="External" Id="rId35"/><Relationship Type="http://schemas.openxmlformats.org/officeDocument/2006/relationships/hyperlink" Target="https://www.figma.com/design/AH5UD6NGdbtqy2z4o9k7QW/%E8%BD%AF%E4%BB%B6%E5%B7%A5%E5%8E%82?node-id=524-35535" TargetMode="External" Id="rId36"/><Relationship Type="http://schemas.openxmlformats.org/officeDocument/2006/relationships/hyperlink" Target="http://127.0.0.1:5173/demo/#/projects/lighting/code/repositories/flight-control-core/tags" TargetMode="External" Id="rId37"/><Relationship Type="http://schemas.openxmlformats.org/officeDocument/2006/relationships/hyperlink" Target="https://www.figma.com/design/AH5UD6NGdbtqy2z4o9k7QW/%E8%BD%AF%E4%BB%B6%E5%B7%A5%E5%8E%82?node-id=524-7424" TargetMode="External" Id="rId38"/><Relationship Type="http://schemas.openxmlformats.org/officeDocument/2006/relationships/hyperlink" Target="http://127.0.0.1:5173/demo/#/projects/lighting/code/repositories/flight-control-core/merge-requests" TargetMode="External" Id="rId39"/><Relationship Type="http://schemas.openxmlformats.org/officeDocument/2006/relationships/hyperlink" Target="https://www.figma.com/design/AH5UD6NGdbtqy2z4o9k7QW/%E8%BD%AF%E4%BB%B6%E5%B7%A5%E5%8E%82?node-id=161-4885" TargetMode="External" Id="rId40"/><Relationship Type="http://schemas.openxmlformats.org/officeDocument/2006/relationships/hyperlink" Target="http://127.0.0.1:5173/demo/#/projects/lighting/code/repositories/flight-control-core?tab=settings" TargetMode="External" Id="rId41"/><Relationship Type="http://schemas.openxmlformats.org/officeDocument/2006/relationships/hyperlink" Target="http://127.0.0.1:5173/demo/#/projects/lighting/code/repositories/flight-control-core?tab=settings" TargetMode="External" Id="rId42"/><Relationship Type="http://schemas.openxmlformats.org/officeDocument/2006/relationships/hyperlink" Target="http://127.0.0.1:5173/demo/#/projects/lighting/code/quality" TargetMode="External" Id="rId43"/><Relationship Type="http://schemas.openxmlformats.org/officeDocument/2006/relationships/hyperlink" Target="http://127.0.0.1:5173/demo/#/projects/lighting/pipelines" TargetMode="External" Id="rId44"/><Relationship Type="http://schemas.openxmlformats.org/officeDocument/2006/relationships/hyperlink" Target="http://127.0.0.1:5173/demo/#/projects/lighting/artifacts/repository" TargetMode="External" Id="rId45"/><Relationship Type="http://schemas.openxmlformats.org/officeDocument/2006/relationships/hyperlink" Target="http://127.0.0.1:5173/demo/#/projects/lighting/artifacts/dependencies" TargetMode="External" Id="rId46"/><Relationship Type="http://schemas.openxmlformats.org/officeDocument/2006/relationships/hyperlink" Target="http://127.0.0.1:5173/demo/#/projects/lighting/deployments/applications" TargetMode="External" Id="rId47"/><Relationship Type="http://schemas.openxmlformats.org/officeDocument/2006/relationships/hyperlink" Target="http://127.0.0.1:5173/demo/#/projects/lighting/deployments/applications/flight-control/overview" TargetMode="External" Id="rId48"/><Relationship Type="http://schemas.openxmlformats.org/officeDocument/2006/relationships/hyperlink" Target="http://127.0.0.1:5173/demo/#/projects/lighting/deployments/applications/flight-control/environment-planning" TargetMode="External" Id="rId49"/><Relationship Type="http://schemas.openxmlformats.org/officeDocument/2006/relationships/hyperlink" Target="http://127.0.0.1:5173/demo/#/projects/lighting/deployments/environments" TargetMode="External" Id="rId50"/><Relationship Type="http://schemas.openxmlformats.org/officeDocument/2006/relationships/hyperlink" Target="http://127.0.0.1:5173/demo/#/projects/lighting/testing/plans" TargetMode="External" Id="rId51"/><Relationship Type="http://schemas.openxmlformats.org/officeDocument/2006/relationships/hyperlink" Target="http://127.0.0.1:5173/demo/#/projects/lighting/testing/cases" TargetMode="External" Id="rId52"/><Relationship Type="http://schemas.openxmlformats.org/officeDocument/2006/relationships/hyperlink" Target="http://127.0.0.1:5173/demo/#/projects/lighting/testing/defects" TargetMode="External" Id="rId53"/><Relationship Type="http://schemas.openxmlformats.org/officeDocument/2006/relationships/table" Target="/xl/tables/table1.xml" Id="rId54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4" customHeight="1">
      <c r="A1" s="1" t="inlineStr">
        <is>
          <t>Vision Demo 路线图仪表盘</t>
        </is>
      </c>
    </row>
    <row r="2" ht="30" customHeight="1">
      <c r="A2" s="2" t="inlineStr">
        <is>
          <t>数据自动汇总自“全部功能路线图”。请在主表维护状态、优先级、计划版本和负责人。</t>
        </is>
      </c>
    </row>
    <row r="4">
      <c r="B4" s="3" t="inlineStr">
        <is>
          <t>功能总数</t>
        </is>
      </c>
      <c r="E4" s="4" t="inlineStr">
        <is>
          <t>已完成</t>
        </is>
      </c>
      <c r="H4" s="5" t="inlineStr">
        <is>
          <t>P0／P1</t>
        </is>
      </c>
      <c r="K4" s="6" t="inlineStr">
        <is>
          <t>待认领</t>
        </is>
      </c>
    </row>
    <row r="5">
      <c r="B5" s="7">
        <f>COUNTA('全部功能路线图'!$A$5:$A$84)</f>
        <v/>
      </c>
      <c r="E5" s="8">
        <f>COUNTIF('全部功能路线图'!$L$5:$L$84,"已完成")</f>
        <v/>
      </c>
      <c r="H5" s="9">
        <f>COUNTIF('全部功能路线图'!$K$5:$K$84,"P0")+COUNTIF('全部功能路线图'!$K$5:$K$84,"P1")</f>
        <v/>
      </c>
      <c r="K5" s="10">
        <f>COUNTIF('全部功能路线图'!$Q$5:$Q$84,"待认领")</f>
        <v/>
      </c>
    </row>
    <row r="6"/>
    <row r="9">
      <c r="B9" s="11" t="inlineStr">
        <is>
          <t>状态分布</t>
        </is>
      </c>
      <c r="C9" s="11" t="n"/>
      <c r="E9" s="11" t="inlineStr">
        <is>
          <t>模块分布</t>
        </is>
      </c>
      <c r="F9" s="11" t="n"/>
    </row>
    <row r="10">
      <c r="B10" t="inlineStr">
        <is>
          <t>待评估</t>
        </is>
      </c>
      <c r="C10">
        <f>COUNTIF('全部功能路线图'!$L$5:$L$84,B10)</f>
        <v/>
      </c>
      <c r="E10" t="inlineStr">
        <is>
          <t>基础体验</t>
        </is>
      </c>
      <c r="F10">
        <f>COUNTIF('全部功能路线图'!$B$5:$B$84,E10)</f>
        <v/>
      </c>
    </row>
    <row r="11">
      <c r="B11" t="inlineStr">
        <is>
          <t>已规划</t>
        </is>
      </c>
      <c r="C11">
        <f>COUNTIF('全部功能路线图'!$L$5:$L$84,B11)</f>
        <v/>
      </c>
      <c r="E11" t="inlineStr">
        <is>
          <t>协作推广</t>
        </is>
      </c>
      <c r="F11">
        <f>COUNTIF('全部功能路线图'!$B$5:$B$84,E11)</f>
        <v/>
      </c>
    </row>
    <row r="12">
      <c r="B12" t="inlineStr">
        <is>
          <t>设计中</t>
        </is>
      </c>
      <c r="C12">
        <f>COUNTIF('全部功能路线图'!$L$5:$L$84,B12)</f>
        <v/>
      </c>
      <c r="E12" t="inlineStr">
        <is>
          <t>项目协作</t>
        </is>
      </c>
      <c r="F12">
        <f>COUNTIF('全部功能路线图'!$B$5:$B$84,E12)</f>
        <v/>
      </c>
    </row>
    <row r="13">
      <c r="B13" t="inlineStr">
        <is>
          <t>开发中</t>
        </is>
      </c>
      <c r="C13">
        <f>COUNTIF('全部功能路线图'!$L$5:$L$84,B13)</f>
        <v/>
      </c>
      <c r="E13" t="inlineStr">
        <is>
          <t>需求管理</t>
        </is>
      </c>
      <c r="F13">
        <f>COUNTIF('全部功能路线图'!$B$5:$B$84,E13)</f>
        <v/>
      </c>
    </row>
    <row r="14">
      <c r="B14" t="inlineStr">
        <is>
          <t>待验收</t>
        </is>
      </c>
      <c r="C14">
        <f>COUNTIF('全部功能路线图'!$L$5:$L$84,B14)</f>
        <v/>
      </c>
      <c r="E14" t="inlineStr">
        <is>
          <t>代码仓库</t>
        </is>
      </c>
      <c r="F14">
        <f>COUNTIF('全部功能路线图'!$B$5:$B$84,E14)</f>
        <v/>
      </c>
    </row>
    <row r="15">
      <c r="B15" t="inlineStr">
        <is>
          <t>已完成</t>
        </is>
      </c>
      <c r="C15">
        <f>COUNTIF('全部功能路线图'!$L$5:$L$84,B15)</f>
        <v/>
      </c>
      <c r="E15" t="inlineStr">
        <is>
          <t>代码质量</t>
        </is>
      </c>
      <c r="F15">
        <f>COUNTIF('全部功能路线图'!$B$5:$B$84,E15)</f>
        <v/>
      </c>
    </row>
    <row r="16">
      <c r="B16" t="inlineStr">
        <is>
          <t>已暂停</t>
        </is>
      </c>
      <c r="C16">
        <f>COUNTIF('全部功能路线图'!$L$5:$L$84,B16)</f>
        <v/>
      </c>
      <c r="E16" t="inlineStr">
        <is>
          <t>流水线</t>
        </is>
      </c>
      <c r="F16">
        <f>COUNTIF('全部功能路线图'!$B$5:$B$84,E16)</f>
        <v/>
      </c>
    </row>
    <row r="17">
      <c r="B17" t="inlineStr">
        <is>
          <t>不采纳</t>
        </is>
      </c>
      <c r="C17">
        <f>COUNTIF('全部功能路线图'!$L$5:$L$84,B17)</f>
        <v/>
      </c>
      <c r="E17" t="inlineStr">
        <is>
          <t>制品管理</t>
        </is>
      </c>
      <c r="F17">
        <f>COUNTIF('全部功能路线图'!$B$5:$B$84,E17)</f>
        <v/>
      </c>
    </row>
    <row r="18">
      <c r="E18" t="inlineStr">
        <is>
          <t>部署管理</t>
        </is>
      </c>
      <c r="F18">
        <f>COUNTIF('全部功能路线图'!$B$5:$B$84,E18)</f>
        <v/>
      </c>
    </row>
    <row r="19">
      <c r="E19" t="inlineStr">
        <is>
          <t>测试管理</t>
        </is>
      </c>
      <c r="F19">
        <f>COUNTIF('全部功能路线图'!$B$5:$B$84,E19)</f>
        <v/>
      </c>
    </row>
    <row r="22">
      <c r="B22" s="12" t="inlineStr">
        <is>
          <t>首轮评审建议</t>
        </is>
      </c>
    </row>
    <row r="23">
      <c r="B23" s="13" t="inlineStr">
        <is>
          <t>1. 先确认 P0 主路径是否覆盖部门沟通需要。</t>
        </is>
      </c>
    </row>
    <row r="24">
      <c r="B24" s="14" t="inlineStr">
        <is>
          <t>2. 将“待认领”条目分配到角色或具体负责人。</t>
        </is>
      </c>
    </row>
    <row r="25">
      <c r="B25" s="13" t="inlineStr">
        <is>
          <t>3. 将确认后的日期从“建议排期”改为“已确认”。</t>
        </is>
      </c>
    </row>
    <row r="26">
      <c r="B26" s="14" t="inlineStr">
        <is>
          <t>4. 对每个 v0.2 条目补齐设计稿和验收人。</t>
        </is>
      </c>
    </row>
    <row r="27">
      <c r="B27" s="13" t="inlineStr">
        <is>
          <t>5. 双周复盘一次状态、阻塞与范围边界。</t>
        </is>
      </c>
    </row>
  </sheetData>
  <mergeCells count="15">
    <mergeCell ref="E4:F4"/>
    <mergeCell ref="A2:L2"/>
    <mergeCell ref="B24:F24"/>
    <mergeCell ref="B25:F25"/>
    <mergeCell ref="A1:L1"/>
    <mergeCell ref="B5:C6"/>
    <mergeCell ref="E5:F6"/>
    <mergeCell ref="K5:L6"/>
    <mergeCell ref="H4:I4"/>
    <mergeCell ref="H5:I6"/>
    <mergeCell ref="K4:L4"/>
    <mergeCell ref="B23:F23"/>
    <mergeCell ref="B26:F26"/>
    <mergeCell ref="B4:C4"/>
    <mergeCell ref="B27:F2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8" customWidth="1" min="4" max="4"/>
    <col width="13" customWidth="1" min="5" max="5"/>
    <col width="12" customWidth="1" min="6" max="6"/>
    <col width="20" customWidth="1" min="7" max="7"/>
    <col width="38" customWidth="1" min="8" max="8"/>
    <col width="18" customWidth="1" min="9" max="9"/>
    <col width="22" customWidth="1" min="10" max="10"/>
    <col width="10" customWidth="1" min="11" max="11"/>
    <col width="12" customWidth="1" min="12" max="12"/>
    <col width="16" customWidth="1" min="13" max="13"/>
    <col width="16" customWidth="1" min="14" max="14"/>
    <col width="40" customWidth="1" min="15" max="15"/>
    <col width="38" customWidth="1" min="16" max="16"/>
    <col width="14" customWidth="1" min="17" max="17"/>
    <col width="22" customWidth="1" min="18" max="18"/>
    <col width="12" customWidth="1" min="19" max="19"/>
    <col width="12" customWidth="1" min="20" max="20"/>
    <col width="14" customWidth="1" min="21" max="21"/>
    <col width="32" customWidth="1" min="22" max="22"/>
    <col width="36" customWidth="1" min="23" max="23"/>
    <col width="44" customWidth="1" min="24" max="24"/>
    <col width="38" customWidth="1" min="25" max="25"/>
    <col width="36" customWidth="1" min="26" max="26"/>
    <col width="12" customWidth="1" min="27" max="27"/>
    <col width="14" customWidth="1" min="28" max="28"/>
    <col width="14" customWidth="1" min="29" max="29"/>
  </cols>
  <sheetData>
    <row r="1" ht="34" customHeight="1">
      <c r="A1" s="1" t="inlineStr">
        <is>
          <t>Vision Demo 全部功能路线图 v0.1</t>
        </is>
      </c>
    </row>
    <row r="2" ht="30" customHeight="1">
      <c r="A2" s="2" t="inlineStr">
        <is>
          <t>初版依据当前代码、导航和已实现页面整理。未来日期均为建议节奏，只有“排期状态=已确认”才视为正式承诺；实现边界默认面向 Demo 模拟，不代表建设真实业务后端。</t>
        </is>
      </c>
    </row>
    <row r="4" ht="34" customHeight="1">
      <c r="A4" s="11" t="inlineStr">
        <is>
          <t>功能编号</t>
        </is>
      </c>
      <c r="B4" s="11" t="inlineStr">
        <is>
          <t>一级模块</t>
        </is>
      </c>
      <c r="C4" s="11" t="inlineStr">
        <is>
          <t>二级模块</t>
        </is>
      </c>
      <c r="D4" s="11" t="inlineStr">
        <is>
          <t>功能名称</t>
        </is>
      </c>
      <c r="E4" s="11" t="inlineStr">
        <is>
          <t>类型</t>
        </is>
      </c>
      <c r="F4" s="11" t="inlineStr">
        <is>
          <t>核心演示路径</t>
        </is>
      </c>
      <c r="G4" s="11" t="inlineStr">
        <is>
          <t>实现边界</t>
        </is>
      </c>
      <c r="H4" s="11" t="inlineStr">
        <is>
          <t>使用场景与价值</t>
        </is>
      </c>
      <c r="I4" s="11" t="inlineStr">
        <is>
          <t>需求来源</t>
        </is>
      </c>
      <c r="J4" s="11" t="inlineStr">
        <is>
          <t>需求部门</t>
        </is>
      </c>
      <c r="K4" s="11" t="inlineStr">
        <is>
          <t>优先级</t>
        </is>
      </c>
      <c r="L4" s="11" t="inlineStr">
        <is>
          <t>状态</t>
        </is>
      </c>
      <c r="M4" s="11" t="inlineStr">
        <is>
          <t>当前成熟度</t>
        </is>
      </c>
      <c r="N4" s="11" t="inlineStr">
        <is>
          <t>目标成熟度</t>
        </is>
      </c>
      <c r="O4" s="11" t="inlineStr">
        <is>
          <t>当前实现说明</t>
        </is>
      </c>
      <c r="P4" s="11" t="inlineStr">
        <is>
          <t>下一步动作</t>
        </is>
      </c>
      <c r="Q4" s="11" t="inlineStr">
        <is>
          <t>负责人</t>
        </is>
      </c>
      <c r="R4" s="11" t="inlineStr">
        <is>
          <t>协作角色</t>
        </is>
      </c>
      <c r="S4" s="11" t="inlineStr">
        <is>
          <t>计划版本</t>
        </is>
      </c>
      <c r="T4" s="11" t="inlineStr">
        <is>
          <t>排期状态</t>
        </is>
      </c>
      <c r="U4" s="11" t="inlineStr">
        <is>
          <t>目标完成时间</t>
        </is>
      </c>
      <c r="V4" s="11" t="inlineStr">
        <is>
          <t>设计稿</t>
        </is>
      </c>
      <c r="W4" s="11" t="inlineStr">
        <is>
          <t>Demo 入口</t>
        </is>
      </c>
      <c r="X4" s="11" t="inlineStr">
        <is>
          <t>验收标准</t>
        </is>
      </c>
      <c r="Y4" s="11" t="inlineStr">
        <is>
          <t>依赖与风险</t>
        </is>
      </c>
      <c r="Z4" s="11" t="inlineStr">
        <is>
          <t>最新进展／阻塞项</t>
        </is>
      </c>
      <c r="AA4" s="11" t="inlineStr">
        <is>
          <t>验收结果</t>
        </is>
      </c>
      <c r="AB4" s="11" t="inlineStr">
        <is>
          <t>实际完成时间</t>
        </is>
      </c>
      <c r="AC4" s="11" t="inlineStr">
        <is>
          <t>最后更新时间</t>
        </is>
      </c>
    </row>
    <row r="5" ht="52" customHeight="1">
      <c r="A5" s="15" t="inlineStr">
        <is>
          <t>DEMO-001</t>
        </is>
      </c>
      <c r="B5" s="16" t="inlineStr">
        <is>
          <t>基础体验</t>
        </is>
      </c>
      <c r="C5" s="16" t="inlineStr">
        <is>
          <t>应用框架</t>
        </is>
      </c>
      <c r="D5" s="16" t="inlineStr">
        <is>
          <t>项目级应用壳层与导航</t>
        </is>
      </c>
      <c r="E5" s="16" t="inlineStr">
        <is>
          <t>现有能力</t>
        </is>
      </c>
      <c r="F5" s="15" t="inlineStr">
        <is>
          <t>是</t>
        </is>
      </c>
      <c r="G5" s="16" t="inlineStr">
        <is>
          <t>UI 交互 + 数据联动</t>
        </is>
      </c>
      <c r="H5" s="16" t="inlineStr">
        <is>
          <t>让不同部门在统一的信息架构中定位项目与研发活动。</t>
        </is>
      </c>
      <c r="I5" s="16" t="inlineStr">
        <is>
          <t>现有 Demo 实现</t>
        </is>
      </c>
      <c r="J5" s="16" t="inlineStr">
        <is>
          <t>产品、研发、设计</t>
        </is>
      </c>
      <c r="K5" s="15" t="inlineStr">
        <is>
          <t>P0</t>
        </is>
      </c>
      <c r="L5" s="15" t="inlineStr">
        <is>
          <t>已完成</t>
        </is>
      </c>
      <c r="M5" s="15" t="inlineStr">
        <is>
          <t>L3 数据联动</t>
        </is>
      </c>
      <c r="N5" s="15" t="inlineStr">
        <is>
          <t>L3 数据联动</t>
        </is>
      </c>
      <c r="O5" s="16" t="inlineStr">
        <is>
          <t>已完成页面、关键交互和示例数据联动。</t>
        </is>
      </c>
      <c r="P5" s="16" t="inlineStr">
        <is>
          <t>纳入回归清单，持续根据部门反馈微调。</t>
        </is>
      </c>
      <c r="Q5" s="16" t="inlineStr">
        <is>
          <t>Demo 小组</t>
        </is>
      </c>
      <c r="R5" s="16" t="inlineStr">
        <is>
          <t>产品、设计、前端</t>
        </is>
      </c>
      <c r="S5" s="15" t="inlineStr">
        <is>
          <t>v0.1</t>
        </is>
      </c>
      <c r="T5" s="15" t="inlineStr">
        <is>
          <t>已确认</t>
        </is>
      </c>
      <c r="U5" s="17" t="n">
        <v>46246</v>
      </c>
      <c r="V5" s="16" t="inlineStr"/>
      <c r="W5" s="18" t="inlineStr">
        <is>
          <t>http://127.0.0.1:5173/demo/#/projects/lighting/overview</t>
        </is>
      </c>
      <c r="X5" s="16" t="inlineStr">
        <is>
          <t>页面可稳定访问；主要交互可操作；刷新和页面跳转后数据语义一致。</t>
        </is>
      </c>
      <c r="Y5" s="16" t="inlineStr">
        <is>
          <t>需防止后续修改破坏跨页面数据一致性。</t>
        </is>
      </c>
      <c r="Z5" s="16" t="inlineStr">
        <is>
          <t>已完成并通过本地类型、构建与页面回归。</t>
        </is>
      </c>
      <c r="AA5" s="15" t="inlineStr">
        <is>
          <t>通过</t>
        </is>
      </c>
      <c r="AB5" s="17" t="n">
        <v>46246</v>
      </c>
      <c r="AC5" s="17" t="n">
        <v>46246</v>
      </c>
    </row>
    <row r="6" ht="52" customHeight="1">
      <c r="A6" s="15" t="inlineStr">
        <is>
          <t>DEMO-002</t>
        </is>
      </c>
      <c r="B6" s="16" t="inlineStr">
        <is>
          <t>基础体验</t>
        </is>
      </c>
      <c r="C6" s="16" t="inlineStr">
        <is>
          <t>项目切换</t>
        </is>
      </c>
      <c r="D6" s="16" t="inlineStr">
        <is>
          <t>多项目切换与导航状态保持</t>
        </is>
      </c>
      <c r="E6" s="16" t="inlineStr">
        <is>
          <t>现有能力</t>
        </is>
      </c>
      <c r="F6" s="15" t="inlineStr">
        <is>
          <t>否</t>
        </is>
      </c>
      <c r="G6" s="16" t="inlineStr">
        <is>
          <t>UI 交互 + 数据联动</t>
        </is>
      </c>
      <c r="H6" s="16" t="inlineStr">
        <is>
          <t>演示同一套能力在不同项目上下文中的复用。</t>
        </is>
      </c>
      <c r="I6" s="16" t="inlineStr">
        <is>
          <t>现有 Demo 实现</t>
        </is>
      </c>
      <c r="J6" s="16" t="inlineStr">
        <is>
          <t>产品、研发、设计</t>
        </is>
      </c>
      <c r="K6" s="15" t="inlineStr">
        <is>
          <t>P1</t>
        </is>
      </c>
      <c r="L6" s="15" t="inlineStr">
        <is>
          <t>已完成</t>
        </is>
      </c>
      <c r="M6" s="15" t="inlineStr">
        <is>
          <t>L3 数据联动</t>
        </is>
      </c>
      <c r="N6" s="15" t="inlineStr">
        <is>
          <t>L3 数据联动</t>
        </is>
      </c>
      <c r="O6" s="16" t="inlineStr">
        <is>
          <t>已完成页面、关键交互和示例数据联动。</t>
        </is>
      </c>
      <c r="P6" s="16" t="inlineStr">
        <is>
          <t>纳入回归清单，持续根据部门反馈微调。</t>
        </is>
      </c>
      <c r="Q6" s="16" t="inlineStr">
        <is>
          <t>Demo 小组</t>
        </is>
      </c>
      <c r="R6" s="16" t="inlineStr">
        <is>
          <t>产品、设计、前端</t>
        </is>
      </c>
      <c r="S6" s="15" t="inlineStr">
        <is>
          <t>v0.1</t>
        </is>
      </c>
      <c r="T6" s="15" t="inlineStr">
        <is>
          <t>已确认</t>
        </is>
      </c>
      <c r="U6" s="17" t="n">
        <v>46246</v>
      </c>
      <c r="V6" s="16" t="inlineStr"/>
      <c r="W6" s="18" t="inlineStr">
        <is>
          <t>http://127.0.0.1:5173/demo/#/projects/lighting/overview</t>
        </is>
      </c>
      <c r="X6" s="16" t="inlineStr">
        <is>
          <t>页面可稳定访问；主要交互可操作；刷新和页面跳转后数据语义一致。</t>
        </is>
      </c>
      <c r="Y6" s="16" t="inlineStr">
        <is>
          <t>需防止后续修改破坏跨页面数据一致性。</t>
        </is>
      </c>
      <c r="Z6" s="16" t="inlineStr">
        <is>
          <t>已完成并通过本地类型、构建与页面回归。</t>
        </is>
      </c>
      <c r="AA6" s="15" t="inlineStr">
        <is>
          <t>通过</t>
        </is>
      </c>
      <c r="AB6" s="17" t="n">
        <v>46246</v>
      </c>
      <c r="AC6" s="17" t="n">
        <v>46246</v>
      </c>
    </row>
    <row r="7" ht="52" customHeight="1">
      <c r="A7" s="15" t="inlineStr">
        <is>
          <t>DEMO-003</t>
        </is>
      </c>
      <c r="B7" s="16" t="inlineStr">
        <is>
          <t>基础体验</t>
        </is>
      </c>
      <c r="C7" s="16" t="inlineStr">
        <is>
          <t>主题</t>
        </is>
      </c>
      <c r="D7" s="16" t="inlineStr">
        <is>
          <t>浅色／深色主题切换</t>
        </is>
      </c>
      <c r="E7" s="16" t="inlineStr">
        <is>
          <t>现有能力</t>
        </is>
      </c>
      <c r="F7" s="15" t="inlineStr">
        <is>
          <t>否</t>
        </is>
      </c>
      <c r="G7" s="16" t="inlineStr">
        <is>
          <t>UI 交互 + 数据联动</t>
        </is>
      </c>
      <c r="H7" s="16" t="inlineStr">
        <is>
          <t>验证设计系统变量和组件在双主题下的一致性。</t>
        </is>
      </c>
      <c r="I7" s="16" t="inlineStr">
        <is>
          <t>现有 Demo 实现</t>
        </is>
      </c>
      <c r="J7" s="16" t="inlineStr">
        <is>
          <t>产品、研发、设计</t>
        </is>
      </c>
      <c r="K7" s="15" t="inlineStr">
        <is>
          <t>P1</t>
        </is>
      </c>
      <c r="L7" s="15" t="inlineStr">
        <is>
          <t>已完成</t>
        </is>
      </c>
      <c r="M7" s="15" t="inlineStr">
        <is>
          <t>L3 数据联动</t>
        </is>
      </c>
      <c r="N7" s="15" t="inlineStr">
        <is>
          <t>L3 数据联动</t>
        </is>
      </c>
      <c r="O7" s="16" t="inlineStr">
        <is>
          <t>已完成页面、关键交互和示例数据联动。</t>
        </is>
      </c>
      <c r="P7" s="16" t="inlineStr">
        <is>
          <t>纳入回归清单，持续根据部门反馈微调。</t>
        </is>
      </c>
      <c r="Q7" s="16" t="inlineStr">
        <is>
          <t>Demo 小组</t>
        </is>
      </c>
      <c r="R7" s="16" t="inlineStr">
        <is>
          <t>产品、设计、前端</t>
        </is>
      </c>
      <c r="S7" s="15" t="inlineStr">
        <is>
          <t>v0.1</t>
        </is>
      </c>
      <c r="T7" s="15" t="inlineStr">
        <is>
          <t>已确认</t>
        </is>
      </c>
      <c r="U7" s="17" t="n">
        <v>46246</v>
      </c>
      <c r="V7" s="16" t="inlineStr"/>
      <c r="W7" s="18" t="inlineStr">
        <is>
          <t>http://127.0.0.1:5173/demo/#/projects/lighting/overview</t>
        </is>
      </c>
      <c r="X7" s="16" t="inlineStr">
        <is>
          <t>页面可稳定访问；主要交互可操作；刷新和页面跳转后数据语义一致。</t>
        </is>
      </c>
      <c r="Y7" s="16" t="inlineStr">
        <is>
          <t>需防止后续修改破坏跨页面数据一致性。</t>
        </is>
      </c>
      <c r="Z7" s="16" t="inlineStr">
        <is>
          <t>已完成并通过本地类型、构建与页面回归。</t>
        </is>
      </c>
      <c r="AA7" s="15" t="inlineStr">
        <is>
          <t>通过</t>
        </is>
      </c>
      <c r="AB7" s="17" t="n">
        <v>46246</v>
      </c>
      <c r="AC7" s="17" t="n">
        <v>46246</v>
      </c>
    </row>
    <row r="8" ht="52" customHeight="1">
      <c r="A8" s="15" t="inlineStr">
        <is>
          <t>DEMO-004</t>
        </is>
      </c>
      <c r="B8" s="16" t="inlineStr">
        <is>
          <t>基础体验</t>
        </is>
      </c>
      <c r="C8" s="16" t="inlineStr">
        <is>
          <t>路由</t>
        </is>
      </c>
      <c r="D8" s="16" t="inlineStr">
        <is>
          <t>关键页面深链接</t>
        </is>
      </c>
      <c r="E8" s="16" t="inlineStr">
        <is>
          <t>现有能力</t>
        </is>
      </c>
      <c r="F8" s="15" t="inlineStr">
        <is>
          <t>是</t>
        </is>
      </c>
      <c r="G8" s="16" t="inlineStr">
        <is>
          <t>UI 交互 + 数据联动</t>
        </is>
      </c>
      <c r="H8" s="16" t="inlineStr">
        <is>
          <t>会议和异步沟通时可直接分享具体功能页面。</t>
        </is>
      </c>
      <c r="I8" s="16" t="inlineStr">
        <is>
          <t>现有 Demo 实现</t>
        </is>
      </c>
      <c r="J8" s="16" t="inlineStr">
        <is>
          <t>产品、研发、设计</t>
        </is>
      </c>
      <c r="K8" s="15" t="inlineStr">
        <is>
          <t>P0</t>
        </is>
      </c>
      <c r="L8" s="15" t="inlineStr">
        <is>
          <t>已完成</t>
        </is>
      </c>
      <c r="M8" s="15" t="inlineStr">
        <is>
          <t>L3 数据联动</t>
        </is>
      </c>
      <c r="N8" s="15" t="inlineStr">
        <is>
          <t>L3 数据联动</t>
        </is>
      </c>
      <c r="O8" s="16" t="inlineStr">
        <is>
          <t>已完成页面、关键交互和示例数据联动。</t>
        </is>
      </c>
      <c r="P8" s="16" t="inlineStr">
        <is>
          <t>纳入回归清单，持续根据部门反馈微调。</t>
        </is>
      </c>
      <c r="Q8" s="16" t="inlineStr">
        <is>
          <t>Demo 小组</t>
        </is>
      </c>
      <c r="R8" s="16" t="inlineStr">
        <is>
          <t>产品、设计、前端</t>
        </is>
      </c>
      <c r="S8" s="15" t="inlineStr">
        <is>
          <t>v0.1</t>
        </is>
      </c>
      <c r="T8" s="15" t="inlineStr">
        <is>
          <t>已确认</t>
        </is>
      </c>
      <c r="U8" s="17" t="n">
        <v>46246</v>
      </c>
      <c r="V8" s="16" t="inlineStr"/>
      <c r="W8" s="18" t="inlineStr">
        <is>
          <t>http://127.0.0.1:5173/demo/#/projects/lighting/code/repositories/flight-control-core</t>
        </is>
      </c>
      <c r="X8" s="16" t="inlineStr">
        <is>
          <t>页面可稳定访问；主要交互可操作；刷新和页面跳转后数据语义一致。</t>
        </is>
      </c>
      <c r="Y8" s="16" t="inlineStr">
        <is>
          <t>需防止后续修改破坏跨页面数据一致性。</t>
        </is>
      </c>
      <c r="Z8" s="16" t="inlineStr">
        <is>
          <t>已完成并通过本地类型、构建与页面回归。</t>
        </is>
      </c>
      <c r="AA8" s="15" t="inlineStr">
        <is>
          <t>通过</t>
        </is>
      </c>
      <c r="AB8" s="17" t="n">
        <v>46246</v>
      </c>
      <c r="AC8" s="17" t="n">
        <v>46246</v>
      </c>
    </row>
    <row r="9" ht="52" customHeight="1">
      <c r="A9" s="15" t="inlineStr">
        <is>
          <t>DEMO-005</t>
        </is>
      </c>
      <c r="B9" s="16" t="inlineStr">
        <is>
          <t>基础体验</t>
        </is>
      </c>
      <c r="C9" s="16" t="inlineStr">
        <is>
          <t>全局搜索</t>
        </is>
      </c>
      <c r="D9" s="16" t="inlineStr">
        <is>
          <t>跨模块全局搜索</t>
        </is>
      </c>
      <c r="E9" s="16" t="inlineStr">
        <is>
          <t>新功能</t>
        </is>
      </c>
      <c r="F9" s="15" t="inlineStr">
        <is>
          <t>否</t>
        </is>
      </c>
      <c r="G9" s="16" t="inlineStr">
        <is>
          <t>Demo 模拟</t>
        </is>
      </c>
      <c r="H9" s="16" t="inlineStr">
        <is>
          <t>通过一个入口快速定位仓库、需求、流水线、应用与测试对象。</t>
        </is>
      </c>
      <c r="I9" s="16" t="inlineStr">
        <is>
          <t>跨部门推广规划</t>
        </is>
      </c>
      <c r="J9" s="16" t="inlineStr">
        <is>
          <t>产品、研发</t>
        </is>
      </c>
      <c r="K9" s="15" t="inlineStr">
        <is>
          <t>P1</t>
        </is>
      </c>
      <c r="L9" s="15" t="inlineStr">
        <is>
          <t>已规划</t>
        </is>
      </c>
      <c r="M9" s="15" t="inlineStr">
        <is>
          <t>L0 占位可达</t>
        </is>
      </c>
      <c r="N9" s="15" t="inlineStr">
        <is>
          <t>L3 数据联动</t>
        </is>
      </c>
      <c r="O9" s="16" t="inlineStr">
        <is>
          <t>当前导航可达，使用通用占位页面。</t>
        </is>
      </c>
      <c r="P9" s="16" t="inlineStr">
        <is>
          <t>补齐关键场景、示例数据和核心交互。</t>
        </is>
      </c>
      <c r="Q9" s="16" t="inlineStr">
        <is>
          <t>待认领</t>
        </is>
      </c>
      <c r="R9" s="16" t="inlineStr">
        <is>
          <t>产品、设计、前端</t>
        </is>
      </c>
      <c r="S9" s="15" t="inlineStr">
        <is>
          <t>v0.3</t>
        </is>
      </c>
      <c r="T9" s="15" t="inlineStr">
        <is>
          <t>建议排期</t>
        </is>
      </c>
      <c r="U9" s="17" t="n">
        <v>46283</v>
      </c>
      <c r="V9" s="16" t="inlineStr"/>
      <c r="W9" s="18" t="inlineStr">
        <is>
          <t>http://127.0.0.1:5173/demo/#/projects/lighting/overview</t>
        </is>
      </c>
      <c r="X9" s="16" t="inlineStr">
        <is>
          <t>可从导航进入；核心信息完整；关键交互可操作；数据在相关页面间保持一致。</t>
        </is>
      </c>
      <c r="Y9" s="16" t="inlineStr">
        <is>
          <t>需确认部门共识与设计稿；仅模拟核心流程，不建设真实后端。</t>
        </is>
      </c>
      <c r="Z9" s="16" t="inlineStr">
        <is>
          <t>待评审范围与负责人。</t>
        </is>
      </c>
      <c r="AA9" s="15" t="inlineStr">
        <is>
          <t>未开始</t>
        </is>
      </c>
      <c r="AB9" s="16" t="n"/>
      <c r="AC9" s="17" t="n">
        <v>46246</v>
      </c>
    </row>
    <row r="10" ht="52" customHeight="1">
      <c r="A10" s="15" t="inlineStr">
        <is>
          <t>DEMO-006</t>
        </is>
      </c>
      <c r="B10" s="16" t="inlineStr">
        <is>
          <t>基础体验</t>
        </is>
      </c>
      <c r="C10" s="16" t="inlineStr">
        <is>
          <t>通知</t>
        </is>
      </c>
      <c r="D10" s="16" t="inlineStr">
        <is>
          <t>通知中心与待办提示</t>
        </is>
      </c>
      <c r="E10" s="16" t="inlineStr">
        <is>
          <t>新功能</t>
        </is>
      </c>
      <c r="F10" s="15" t="inlineStr">
        <is>
          <t>否</t>
        </is>
      </c>
      <c r="G10" s="16" t="inlineStr">
        <is>
          <t>Demo 模拟</t>
        </is>
      </c>
      <c r="H10" s="16" t="inlineStr">
        <is>
          <t>模拟评审、流水线失败、部署完成等跨模块提醒。</t>
        </is>
      </c>
      <c r="I10" s="16" t="inlineStr">
        <is>
          <t>跨部门推广规划</t>
        </is>
      </c>
      <c r="J10" s="16" t="inlineStr">
        <is>
          <t>产品、研发、测试、运维</t>
        </is>
      </c>
      <c r="K10" s="15" t="inlineStr">
        <is>
          <t>P2</t>
        </is>
      </c>
      <c r="L10" s="15" t="inlineStr">
        <is>
          <t>已规划</t>
        </is>
      </c>
      <c r="M10" s="15" t="inlineStr">
        <is>
          <t>L0 占位可达</t>
        </is>
      </c>
      <c r="N10" s="15" t="inlineStr">
        <is>
          <t>L3 数据联动</t>
        </is>
      </c>
      <c r="O10" s="16" t="inlineStr">
        <is>
          <t>当前导航可达，使用通用占位页面。</t>
        </is>
      </c>
      <c r="P10" s="16" t="inlineStr">
        <is>
          <t>补齐关键场景、示例数据和核心交互。</t>
        </is>
      </c>
      <c r="Q10" s="16" t="inlineStr">
        <is>
          <t>待认领</t>
        </is>
      </c>
      <c r="R10" s="16" t="inlineStr">
        <is>
          <t>产品、设计、前端</t>
        </is>
      </c>
      <c r="S10" s="15" t="inlineStr">
        <is>
          <t>v0.4</t>
        </is>
      </c>
      <c r="T10" s="15" t="inlineStr">
        <is>
          <t>建议排期</t>
        </is>
      </c>
      <c r="U10" s="17" t="n">
        <v>46311</v>
      </c>
      <c r="V10" s="16" t="inlineStr"/>
      <c r="W10" s="16" t="inlineStr"/>
      <c r="X10" s="16" t="inlineStr">
        <is>
          <t>可从导航进入；核心信息完整；关键交互可操作；数据在相关页面间保持一致。</t>
        </is>
      </c>
      <c r="Y10" s="16" t="inlineStr">
        <is>
          <t>需确认部门共识与设计稿；仅模拟核心流程，不建设真实后端。</t>
        </is>
      </c>
      <c r="Z10" s="16" t="inlineStr">
        <is>
          <t>待评审范围与负责人。</t>
        </is>
      </c>
      <c r="AA10" s="15" t="inlineStr">
        <is>
          <t>未开始</t>
        </is>
      </c>
      <c r="AB10" s="16" t="n"/>
      <c r="AC10" s="17" t="n">
        <v>46246</v>
      </c>
    </row>
    <row r="11" ht="52" customHeight="1">
      <c r="A11" s="15" t="inlineStr">
        <is>
          <t>DEMO-007</t>
        </is>
      </c>
      <c r="B11" s="16" t="inlineStr">
        <is>
          <t>基础体验</t>
        </is>
      </c>
      <c r="C11" s="16" t="inlineStr">
        <is>
          <t>响应式</t>
        </is>
      </c>
      <c r="D11" s="16" t="inlineStr">
        <is>
          <t>常用桌面分辨率适配</t>
        </is>
      </c>
      <c r="E11" s="16" t="inlineStr">
        <is>
          <t>体验优化</t>
        </is>
      </c>
      <c r="F11" s="15" t="inlineStr">
        <is>
          <t>否</t>
        </is>
      </c>
      <c r="G11" s="16" t="inlineStr">
        <is>
          <t>Demo 模拟</t>
        </is>
      </c>
      <c r="H11" s="16" t="inlineStr">
        <is>
          <t>保证会议室大屏、笔记本和小屏窗口下都可顺畅演示。</t>
        </is>
      </c>
      <c r="I11" s="16" t="inlineStr">
        <is>
          <t>跨部门推广规划</t>
        </is>
      </c>
      <c r="J11" s="16" t="inlineStr">
        <is>
          <t>全体部门</t>
        </is>
      </c>
      <c r="K11" s="15" t="inlineStr">
        <is>
          <t>P1</t>
        </is>
      </c>
      <c r="L11" s="15" t="inlineStr">
        <is>
          <t>已规划</t>
        </is>
      </c>
      <c r="M11" s="15" t="inlineStr">
        <is>
          <t>L2 可交互</t>
        </is>
      </c>
      <c r="N11" s="15" t="inlineStr">
        <is>
          <t>L3 数据联动</t>
        </is>
      </c>
      <c r="O11" s="16" t="inlineStr">
        <is>
          <t>核心仓库页面已有小屏优化，但尚未形成统一回归矩阵。</t>
        </is>
      </c>
      <c r="P11" s="16" t="inlineStr">
        <is>
          <t>补齐关键场景、示例数据和核心交互。</t>
        </is>
      </c>
      <c r="Q11" s="16" t="inlineStr">
        <is>
          <t>待认领</t>
        </is>
      </c>
      <c r="R11" s="16" t="inlineStr">
        <is>
          <t>产品、设计、前端</t>
        </is>
      </c>
      <c r="S11" s="15" t="inlineStr">
        <is>
          <t>v0.2</t>
        </is>
      </c>
      <c r="T11" s="15" t="inlineStr">
        <is>
          <t>建议排期</t>
        </is>
      </c>
      <c r="U11" s="17" t="n">
        <v>46262</v>
      </c>
      <c r="V11" s="16" t="inlineStr"/>
      <c r="W11" s="18" t="inlineStr">
        <is>
          <t>http://127.0.0.1:5173/demo/#/projects/lighting/code/repositories/flight-control-core</t>
        </is>
      </c>
      <c r="X11" s="16" t="inlineStr">
        <is>
          <t>可从导航进入；核心信息完整；关键交互可操作；数据在相关页面间保持一致。</t>
        </is>
      </c>
      <c r="Y11" s="16" t="inlineStr">
        <is>
          <t>需确认部门共识与设计稿；仅模拟核心流程，不建设真实后端。</t>
        </is>
      </c>
      <c r="Z11" s="16" t="inlineStr">
        <is>
          <t>待评审范围与负责人。</t>
        </is>
      </c>
      <c r="AA11" s="15" t="inlineStr">
        <is>
          <t>未开始</t>
        </is>
      </c>
      <c r="AB11" s="16" t="n"/>
      <c r="AC11" s="17" t="n">
        <v>46246</v>
      </c>
    </row>
    <row r="12" ht="52" customHeight="1">
      <c r="A12" s="15" t="inlineStr">
        <is>
          <t>DEMO-008</t>
        </is>
      </c>
      <c r="B12" s="16" t="inlineStr">
        <is>
          <t>基础体验</t>
        </is>
      </c>
      <c r="C12" s="16" t="inlineStr">
        <is>
          <t>无障碍</t>
        </is>
      </c>
      <c r="D12" s="16" t="inlineStr">
        <is>
          <t>键盘与可访问性基线</t>
        </is>
      </c>
      <c r="E12" s="16" t="inlineStr">
        <is>
          <t>体验优化</t>
        </is>
      </c>
      <c r="F12" s="15" t="inlineStr">
        <is>
          <t>否</t>
        </is>
      </c>
      <c r="G12" s="16" t="inlineStr">
        <is>
          <t>Demo 模拟</t>
        </is>
      </c>
      <c r="H12" s="16" t="inlineStr">
        <is>
          <t>降低演示操作门槛，并保证组件语义与焦点状态一致。</t>
        </is>
      </c>
      <c r="I12" s="16" t="inlineStr">
        <is>
          <t>跨部门推广规划</t>
        </is>
      </c>
      <c r="J12" s="16" t="inlineStr">
        <is>
          <t>产品、研发</t>
        </is>
      </c>
      <c r="K12" s="15" t="inlineStr">
        <is>
          <t>P2</t>
        </is>
      </c>
      <c r="L12" s="15" t="inlineStr">
        <is>
          <t>已规划</t>
        </is>
      </c>
      <c r="M12" s="15" t="inlineStr">
        <is>
          <t>L0 占位可达</t>
        </is>
      </c>
      <c r="N12" s="15" t="inlineStr">
        <is>
          <t>L3 数据联动</t>
        </is>
      </c>
      <c r="O12" s="16" t="inlineStr">
        <is>
          <t>当前导航可达，使用通用占位页面。</t>
        </is>
      </c>
      <c r="P12" s="16" t="inlineStr">
        <is>
          <t>补齐关键场景、示例数据和核心交互。</t>
        </is>
      </c>
      <c r="Q12" s="16" t="inlineStr">
        <is>
          <t>待认领</t>
        </is>
      </c>
      <c r="R12" s="16" t="inlineStr">
        <is>
          <t>产品、设计、前端</t>
        </is>
      </c>
      <c r="S12" s="15" t="inlineStr">
        <is>
          <t>v0.4</t>
        </is>
      </c>
      <c r="T12" s="15" t="inlineStr">
        <is>
          <t>建议排期</t>
        </is>
      </c>
      <c r="U12" s="17" t="n">
        <v>46311</v>
      </c>
      <c r="V12" s="16" t="inlineStr"/>
      <c r="W12" s="16" t="inlineStr"/>
      <c r="X12" s="16" t="inlineStr">
        <is>
          <t>可从导航进入；核心信息完整；关键交互可操作；数据在相关页面间保持一致。</t>
        </is>
      </c>
      <c r="Y12" s="16" t="inlineStr">
        <is>
          <t>需确认部门共识与设计稿；仅模拟核心流程，不建设真实后端。</t>
        </is>
      </c>
      <c r="Z12" s="16" t="inlineStr">
        <is>
          <t>待评审范围与负责人。</t>
        </is>
      </c>
      <c r="AA12" s="15" t="inlineStr">
        <is>
          <t>未开始</t>
        </is>
      </c>
      <c r="AB12" s="16" t="n"/>
      <c r="AC12" s="17" t="n">
        <v>46246</v>
      </c>
    </row>
    <row r="13" ht="52" customHeight="1">
      <c r="A13" s="15" t="inlineStr">
        <is>
          <t>DEMO-009</t>
        </is>
      </c>
      <c r="B13" s="16" t="inlineStr">
        <is>
          <t>基础体验</t>
        </is>
      </c>
      <c r="C13" s="16" t="inlineStr">
        <is>
          <t>数据治理</t>
        </is>
      </c>
      <c r="D13" s="16" t="inlineStr">
        <is>
          <t>统一轻量示例数据源</t>
        </is>
      </c>
      <c r="E13" s="16" t="inlineStr">
        <is>
          <t>现有能力</t>
        </is>
      </c>
      <c r="F13" s="15" t="inlineStr">
        <is>
          <t>是</t>
        </is>
      </c>
      <c r="G13" s="16" t="inlineStr">
        <is>
          <t>UI 交互 + 数据联动</t>
        </is>
      </c>
      <c r="H13" s="16" t="inlineStr">
        <is>
          <t>让仓库、提交、分支、标签和合并请求呈现同一真实叙事。</t>
        </is>
      </c>
      <c r="I13" s="16" t="inlineStr">
        <is>
          <t>现有 Demo 实现</t>
        </is>
      </c>
      <c r="J13" s="16" t="inlineStr">
        <is>
          <t>产品、研发、设计</t>
        </is>
      </c>
      <c r="K13" s="15" t="inlineStr">
        <is>
          <t>P0</t>
        </is>
      </c>
      <c r="L13" s="15" t="inlineStr">
        <is>
          <t>已完成</t>
        </is>
      </c>
      <c r="M13" s="15" t="inlineStr">
        <is>
          <t>L3 数据联动</t>
        </is>
      </c>
      <c r="N13" s="15" t="inlineStr">
        <is>
          <t>L3 数据联动</t>
        </is>
      </c>
      <c r="O13" s="16" t="inlineStr">
        <is>
          <t>所有示例仓库已指向统一数据模型，计数和关联关系由数据计算。</t>
        </is>
      </c>
      <c r="P13" s="16" t="inlineStr">
        <is>
          <t>纳入回归清单，持续根据部门反馈微调。</t>
        </is>
      </c>
      <c r="Q13" s="16" t="inlineStr">
        <is>
          <t>Demo 小组</t>
        </is>
      </c>
      <c r="R13" s="16" t="inlineStr">
        <is>
          <t>产品、设计、前端</t>
        </is>
      </c>
      <c r="S13" s="15" t="inlineStr">
        <is>
          <t>v0.1</t>
        </is>
      </c>
      <c r="T13" s="15" t="inlineStr">
        <is>
          <t>已确认</t>
        </is>
      </c>
      <c r="U13" s="17" t="n">
        <v>46246</v>
      </c>
      <c r="V13" s="16" t="inlineStr"/>
      <c r="W13" s="18" t="inlineStr">
        <is>
          <t>http://127.0.0.1:5173/demo/#/projects/lighting/code/repositories/flight-control-core</t>
        </is>
      </c>
      <c r="X13" s="16" t="inlineStr">
        <is>
          <t>页面可稳定访问；主要交互可操作；刷新和页面跳转后数据语义一致。</t>
        </is>
      </c>
      <c r="Y13" s="16" t="inlineStr">
        <is>
          <t>需防止后续修改破坏跨页面数据一致性。</t>
        </is>
      </c>
      <c r="Z13" s="16" t="inlineStr">
        <is>
          <t>已完成并通过本地类型、构建与页面回归。</t>
        </is>
      </c>
      <c r="AA13" s="15" t="inlineStr">
        <is>
          <t>通过</t>
        </is>
      </c>
      <c r="AB13" s="17" t="n">
        <v>46246</v>
      </c>
      <c r="AC13" s="17" t="n">
        <v>46246</v>
      </c>
    </row>
    <row r="14" ht="52" customHeight="1">
      <c r="A14" s="15" t="inlineStr">
        <is>
          <t>DEMO-010</t>
        </is>
      </c>
      <c r="B14" s="16" t="inlineStr">
        <is>
          <t>协作推广</t>
        </is>
      </c>
      <c r="C14" s="16" t="inlineStr">
        <is>
          <t>反馈闭环</t>
        </is>
      </c>
      <c r="D14" s="16" t="inlineStr">
        <is>
          <t>部门反馈收集与回链</t>
        </is>
      </c>
      <c r="E14" s="16" t="inlineStr">
        <is>
          <t>协作治理</t>
        </is>
      </c>
      <c r="F14" s="15" t="inlineStr">
        <is>
          <t>否</t>
        </is>
      </c>
      <c r="G14" s="16" t="inlineStr">
        <is>
          <t>Demo 模拟</t>
        </is>
      </c>
      <c r="H14" s="16" t="inlineStr">
        <is>
          <t>让使用者从页面问题快速回链到路线图条目和设计稿。</t>
        </is>
      </c>
      <c r="I14" s="16" t="inlineStr">
        <is>
          <t>跨部门推广规划</t>
        </is>
      </c>
      <c r="J14" s="16" t="inlineStr">
        <is>
          <t>全体部门</t>
        </is>
      </c>
      <c r="K14" s="15" t="inlineStr">
        <is>
          <t>P0</t>
        </is>
      </c>
      <c r="L14" s="15" t="inlineStr">
        <is>
          <t>已规划</t>
        </is>
      </c>
      <c r="M14" s="15" t="inlineStr">
        <is>
          <t>L0 占位可达</t>
        </is>
      </c>
      <c r="N14" s="15" t="inlineStr">
        <is>
          <t>L2 可交互</t>
        </is>
      </c>
      <c r="O14" s="16" t="inlineStr">
        <is>
          <t>当前导航可达，使用通用占位页面。</t>
        </is>
      </c>
      <c r="P14" s="16" t="inlineStr">
        <is>
          <t>补齐关键场景、示例数据和核心交互。</t>
        </is>
      </c>
      <c r="Q14" s="16" t="inlineStr">
        <is>
          <t>Demo 运营</t>
        </is>
      </c>
      <c r="R14" s="16" t="inlineStr">
        <is>
          <t>产品、设计、研发代表</t>
        </is>
      </c>
      <c r="S14" s="15" t="inlineStr">
        <is>
          <t>v0.2</t>
        </is>
      </c>
      <c r="T14" s="15" t="inlineStr">
        <is>
          <t>建议排期</t>
        </is>
      </c>
      <c r="U14" s="17" t="n">
        <v>46262</v>
      </c>
      <c r="V14" s="16" t="inlineStr"/>
      <c r="W14" s="16" t="inlineStr"/>
      <c r="X14" s="16" t="inlineStr">
        <is>
          <t>提供统一反馈入口；每条反馈可关联功能编号、页面、截图、提出部门与处理状态。</t>
        </is>
      </c>
      <c r="Y14" s="16" t="inlineStr">
        <is>
          <t>需确认部门共识与设计稿；仅模拟核心流程，不建设真实后端。</t>
        </is>
      </c>
      <c r="Z14" s="16" t="inlineStr">
        <is>
          <t>待评审范围与负责人。</t>
        </is>
      </c>
      <c r="AA14" s="15" t="inlineStr">
        <is>
          <t>未开始</t>
        </is>
      </c>
      <c r="AB14" s="16" t="n"/>
      <c r="AC14" s="17" t="n">
        <v>46246</v>
      </c>
    </row>
    <row r="15" ht="52" customHeight="1">
      <c r="A15" s="15" t="inlineStr">
        <is>
          <t>DEMO-011</t>
        </is>
      </c>
      <c r="B15" s="16" t="inlineStr">
        <is>
          <t>协作推广</t>
        </is>
      </c>
      <c r="C15" s="16" t="inlineStr">
        <is>
          <t>变更沟通</t>
        </is>
      </c>
      <c r="D15" s="16" t="inlineStr">
        <is>
          <t>版本更新日志</t>
        </is>
      </c>
      <c r="E15" s="16" t="inlineStr">
        <is>
          <t>协作治理</t>
        </is>
      </c>
      <c r="F15" s="15" t="inlineStr">
        <is>
          <t>否</t>
        </is>
      </c>
      <c r="G15" s="16" t="inlineStr">
        <is>
          <t>Demo 模拟</t>
        </is>
      </c>
      <c r="H15" s="16" t="inlineStr">
        <is>
          <t>让部门清楚每次更新新增了什么、调整了什么、是否影响既有演示路径。</t>
        </is>
      </c>
      <c r="I15" s="16" t="inlineStr">
        <is>
          <t>跨部门推广规划</t>
        </is>
      </c>
      <c r="J15" s="16" t="inlineStr">
        <is>
          <t>全体部门</t>
        </is>
      </c>
      <c r="K15" s="15" t="inlineStr">
        <is>
          <t>P1</t>
        </is>
      </c>
      <c r="L15" s="15" t="inlineStr">
        <is>
          <t>已规划</t>
        </is>
      </c>
      <c r="M15" s="15" t="inlineStr">
        <is>
          <t>L0 占位可达</t>
        </is>
      </c>
      <c r="N15" s="15" t="inlineStr">
        <is>
          <t>L2 可交互</t>
        </is>
      </c>
      <c r="O15" s="16" t="inlineStr">
        <is>
          <t>当前导航可达，使用通用占位页面。</t>
        </is>
      </c>
      <c r="P15" s="16" t="inlineStr">
        <is>
          <t>补齐关键场景、示例数据和核心交互。</t>
        </is>
      </c>
      <c r="Q15" s="16" t="inlineStr">
        <is>
          <t>Demo 运营</t>
        </is>
      </c>
      <c r="R15" s="16" t="inlineStr">
        <is>
          <t>产品、设计、前端</t>
        </is>
      </c>
      <c r="S15" s="15" t="inlineStr">
        <is>
          <t>v0.2</t>
        </is>
      </c>
      <c r="T15" s="15" t="inlineStr">
        <is>
          <t>建议排期</t>
        </is>
      </c>
      <c r="U15" s="17" t="n">
        <v>46262</v>
      </c>
      <c r="V15" s="16" t="inlineStr"/>
      <c r="W15" s="16" t="inlineStr"/>
      <c r="X15" s="16" t="inlineStr">
        <is>
          <t>可从导航进入；核心信息完整；关键交互可操作；数据在相关页面间保持一致。</t>
        </is>
      </c>
      <c r="Y15" s="16" t="inlineStr">
        <is>
          <t>需确认部门共识与设计稿；仅模拟核心流程，不建设真实后端。</t>
        </is>
      </c>
      <c r="Z15" s="16" t="inlineStr">
        <is>
          <t>待评审范围与负责人。</t>
        </is>
      </c>
      <c r="AA15" s="15" t="inlineStr">
        <is>
          <t>未开始</t>
        </is>
      </c>
      <c r="AB15" s="16" t="n"/>
      <c r="AC15" s="17" t="n">
        <v>46246</v>
      </c>
    </row>
    <row r="16" ht="52" customHeight="1">
      <c r="A16" s="15" t="inlineStr">
        <is>
          <t>DEMO-012</t>
        </is>
      </c>
      <c r="B16" s="16" t="inlineStr">
        <is>
          <t>协作推广</t>
        </is>
      </c>
      <c r="C16" s="16" t="inlineStr">
        <is>
          <t>使用支持</t>
        </is>
      </c>
      <c r="D16" s="16" t="inlineStr">
        <is>
          <t>Demo 使用指南与讲解脚本</t>
        </is>
      </c>
      <c r="E16" s="16" t="inlineStr">
        <is>
          <t>内容补充</t>
        </is>
      </c>
      <c r="F16" s="15" t="inlineStr">
        <is>
          <t>否</t>
        </is>
      </c>
      <c r="G16" s="16" t="inlineStr">
        <is>
          <t>Demo 模拟</t>
        </is>
      </c>
      <c r="H16" s="16" t="inlineStr">
        <is>
          <t>帮助非建设人员独立完成核心场景演示。</t>
        </is>
      </c>
      <c r="I16" s="16" t="inlineStr">
        <is>
          <t>跨部门推广规划</t>
        </is>
      </c>
      <c r="J16" s="16" t="inlineStr">
        <is>
          <t>全体部门</t>
        </is>
      </c>
      <c r="K16" s="15" t="inlineStr">
        <is>
          <t>P1</t>
        </is>
      </c>
      <c r="L16" s="15" t="inlineStr">
        <is>
          <t>已规划</t>
        </is>
      </c>
      <c r="M16" s="15" t="inlineStr">
        <is>
          <t>L0 占位可达</t>
        </is>
      </c>
      <c r="N16" s="15" t="inlineStr">
        <is>
          <t>L2 可交互</t>
        </is>
      </c>
      <c r="O16" s="16" t="inlineStr">
        <is>
          <t>当前导航可达，使用通用占位页面。</t>
        </is>
      </c>
      <c r="P16" s="16" t="inlineStr">
        <is>
          <t>补齐关键场景、示例数据和核心交互。</t>
        </is>
      </c>
      <c r="Q16" s="16" t="inlineStr">
        <is>
          <t>产品</t>
        </is>
      </c>
      <c r="R16" s="16" t="inlineStr">
        <is>
          <t>产品、设计、业务代表</t>
        </is>
      </c>
      <c r="S16" s="15" t="inlineStr">
        <is>
          <t>v0.2</t>
        </is>
      </c>
      <c r="T16" s="15" t="inlineStr">
        <is>
          <t>建议排期</t>
        </is>
      </c>
      <c r="U16" s="17" t="n">
        <v>46262</v>
      </c>
      <c r="V16" s="16" t="inlineStr"/>
      <c r="W16" s="16" t="inlineStr"/>
      <c r="X16" s="16" t="inlineStr">
        <is>
          <t>可从导航进入；核心信息完整；关键交互可操作；数据在相关页面间保持一致。</t>
        </is>
      </c>
      <c r="Y16" s="16" t="inlineStr">
        <is>
          <t>需确认部门共识与设计稿；仅模拟核心流程，不建设真实后端。</t>
        </is>
      </c>
      <c r="Z16" s="16" t="inlineStr">
        <is>
          <t>待评审范围与负责人。</t>
        </is>
      </c>
      <c r="AA16" s="15" t="inlineStr">
        <is>
          <t>未开始</t>
        </is>
      </c>
      <c r="AB16" s="16" t="n"/>
      <c r="AC16" s="17" t="n">
        <v>46246</v>
      </c>
    </row>
    <row r="17" ht="52" customHeight="1">
      <c r="A17" s="15" t="inlineStr">
        <is>
          <t>DEMO-013</t>
        </is>
      </c>
      <c r="B17" s="16" t="inlineStr">
        <is>
          <t>项目协作</t>
        </is>
      </c>
      <c r="C17" s="16" t="inlineStr">
        <is>
          <t>项目概览</t>
        </is>
      </c>
      <c r="D17" s="16" t="inlineStr">
        <is>
          <t>项目概览仪表盘</t>
        </is>
      </c>
      <c r="E17" s="16" t="inlineStr">
        <is>
          <t>现有能力</t>
        </is>
      </c>
      <c r="F17" s="15" t="inlineStr">
        <is>
          <t>否</t>
        </is>
      </c>
      <c r="G17" s="16" t="inlineStr">
        <is>
          <t>静态展示 + 局部交互</t>
        </is>
      </c>
      <c r="H17" s="16" t="inlineStr">
        <is>
          <t>用需求、流水线、缺陷和环境指标建立项目全局认知。</t>
        </is>
      </c>
      <c r="I17" s="16" t="inlineStr">
        <is>
          <t>现有 Demo 实现</t>
        </is>
      </c>
      <c r="J17" s="16" t="inlineStr">
        <is>
          <t>产品、研发、设计</t>
        </is>
      </c>
      <c r="K17" s="15" t="inlineStr">
        <is>
          <t>P1</t>
        </is>
      </c>
      <c r="L17" s="15" t="inlineStr">
        <is>
          <t>已完成</t>
        </is>
      </c>
      <c r="M17" s="15" t="inlineStr">
        <is>
          <t>L3 数据联动</t>
        </is>
      </c>
      <c r="N17" s="15" t="inlineStr">
        <is>
          <t>L3 数据联动</t>
        </is>
      </c>
      <c r="O17" s="16" t="inlineStr">
        <is>
          <t>已完成页面、关键交互和示例数据联动。</t>
        </is>
      </c>
      <c r="P17" s="16" t="inlineStr">
        <is>
          <t>纳入回归清单，持续根据部门反馈微调。</t>
        </is>
      </c>
      <c r="Q17" s="16" t="inlineStr">
        <is>
          <t>Demo 小组</t>
        </is>
      </c>
      <c r="R17" s="16" t="inlineStr">
        <is>
          <t>产品、设计、前端</t>
        </is>
      </c>
      <c r="S17" s="15" t="inlineStr">
        <is>
          <t>v0.1</t>
        </is>
      </c>
      <c r="T17" s="15" t="inlineStr">
        <is>
          <t>已确认</t>
        </is>
      </c>
      <c r="U17" s="17" t="n">
        <v>46246</v>
      </c>
      <c r="V17" s="16" t="inlineStr"/>
      <c r="W17" s="18" t="inlineStr">
        <is>
          <t>http://127.0.0.1:5173/demo/#/projects/lighting/overview</t>
        </is>
      </c>
      <c r="X17" s="16" t="inlineStr">
        <is>
          <t>页面可稳定访问；主要交互可操作；刷新和页面跳转后数据语义一致。</t>
        </is>
      </c>
      <c r="Y17" s="16" t="inlineStr">
        <is>
          <t>需防止后续修改破坏跨页面数据一致性。</t>
        </is>
      </c>
      <c r="Z17" s="16" t="inlineStr">
        <is>
          <t>已完成并通过本地类型、构建与页面回归。</t>
        </is>
      </c>
      <c r="AA17" s="15" t="inlineStr">
        <is>
          <t>通过</t>
        </is>
      </c>
      <c r="AB17" s="17" t="n">
        <v>46246</v>
      </c>
      <c r="AC17" s="17" t="n">
        <v>46246</v>
      </c>
    </row>
    <row r="18" ht="52" customHeight="1">
      <c r="A18" s="15" t="inlineStr">
        <is>
          <t>DEMO-014</t>
        </is>
      </c>
      <c r="B18" s="16" t="inlineStr">
        <is>
          <t>项目协作</t>
        </is>
      </c>
      <c r="C18" s="16" t="inlineStr">
        <is>
          <t>项目管理</t>
        </is>
      </c>
      <c r="D18" s="16" t="inlineStr">
        <is>
          <t>项目管理总览</t>
        </is>
      </c>
      <c r="E18" s="16" t="inlineStr">
        <is>
          <t>新功能</t>
        </is>
      </c>
      <c r="F18" s="15" t="inlineStr">
        <is>
          <t>否</t>
        </is>
      </c>
      <c r="G18" s="16" t="inlineStr">
        <is>
          <t>Demo 模拟</t>
        </is>
      </c>
      <c r="H18" s="16" t="inlineStr">
        <is>
          <t>集中展示项目成员、迭代、里程碑和近期活动。</t>
        </is>
      </c>
      <c r="I18" s="16" t="inlineStr">
        <is>
          <t>跨部门推广规划</t>
        </is>
      </c>
      <c r="J18" s="16" t="inlineStr">
        <is>
          <t>产品、项目管理、研发</t>
        </is>
      </c>
      <c r="K18" s="15" t="inlineStr">
        <is>
          <t>P2</t>
        </is>
      </c>
      <c r="L18" s="15" t="inlineStr">
        <is>
          <t>已规划</t>
        </is>
      </c>
      <c r="M18" s="15" t="inlineStr">
        <is>
          <t>L0 占位可达</t>
        </is>
      </c>
      <c r="N18" s="15" t="inlineStr">
        <is>
          <t>L3 数据联动</t>
        </is>
      </c>
      <c r="O18" s="16" t="inlineStr">
        <is>
          <t>当前导航可达，使用通用占位页面。</t>
        </is>
      </c>
      <c r="P18" s="16" t="inlineStr">
        <is>
          <t>补齐关键场景、示例数据和核心交互。</t>
        </is>
      </c>
      <c r="Q18" s="16" t="inlineStr">
        <is>
          <t>待认领</t>
        </is>
      </c>
      <c r="R18" s="16" t="inlineStr">
        <is>
          <t>产品、设计、前端</t>
        </is>
      </c>
      <c r="S18" s="15" t="inlineStr">
        <is>
          <t>v0.4</t>
        </is>
      </c>
      <c r="T18" s="15" t="inlineStr">
        <is>
          <t>建议排期</t>
        </is>
      </c>
      <c r="U18" s="17" t="n">
        <v>46311</v>
      </c>
      <c r="V18" s="16" t="inlineStr"/>
      <c r="W18" s="18" t="inlineStr">
        <is>
          <t>http://127.0.0.1:5173/demo/#/projects/lighting/management</t>
        </is>
      </c>
      <c r="X18" s="16" t="inlineStr">
        <is>
          <t>可从导航进入；核心信息完整；关键交互可操作；数据在相关页面间保持一致。</t>
        </is>
      </c>
      <c r="Y18" s="16" t="inlineStr">
        <is>
          <t>需确认部门共识与设计稿；仅模拟核心流程，不建设真实后端。</t>
        </is>
      </c>
      <c r="Z18" s="16" t="inlineStr">
        <is>
          <t>待评审范围与负责人。</t>
        </is>
      </c>
      <c r="AA18" s="15" t="inlineStr">
        <is>
          <t>未开始</t>
        </is>
      </c>
      <c r="AB18" s="16" t="n"/>
      <c r="AC18" s="17" t="n">
        <v>46246</v>
      </c>
    </row>
    <row r="19" ht="52" customHeight="1">
      <c r="A19" s="15" t="inlineStr">
        <is>
          <t>DEMO-015</t>
        </is>
      </c>
      <c r="B19" s="16" t="inlineStr">
        <is>
          <t>项目协作</t>
        </is>
      </c>
      <c r="C19" s="16" t="inlineStr">
        <is>
          <t>项目管理</t>
        </is>
      </c>
      <c r="D19" s="16" t="inlineStr">
        <is>
          <t>成员与角色</t>
        </is>
      </c>
      <c r="E19" s="16" t="inlineStr">
        <is>
          <t>新功能</t>
        </is>
      </c>
      <c r="F19" s="15" t="inlineStr">
        <is>
          <t>否</t>
        </is>
      </c>
      <c r="G19" s="16" t="inlineStr">
        <is>
          <t>Demo 模拟</t>
        </is>
      </c>
      <c r="H19" s="16" t="inlineStr">
        <is>
          <t>模拟项目成员、角色和职责分工，支撑跨部门协作讨论。</t>
        </is>
      </c>
      <c r="I19" s="16" t="inlineStr">
        <is>
          <t>跨部门推广规划</t>
        </is>
      </c>
      <c r="J19" s="16" t="inlineStr">
        <is>
          <t>项目管理、研发</t>
        </is>
      </c>
      <c r="K19" s="15" t="inlineStr">
        <is>
          <t>P3</t>
        </is>
      </c>
      <c r="L19" s="15" t="inlineStr">
        <is>
          <t>已规划</t>
        </is>
      </c>
      <c r="M19" s="15" t="inlineStr">
        <is>
          <t>L0 占位可达</t>
        </is>
      </c>
      <c r="N19" s="15" t="inlineStr">
        <is>
          <t>L3 数据联动</t>
        </is>
      </c>
      <c r="O19" s="16" t="inlineStr">
        <is>
          <t>当前导航可达，使用通用占位页面。</t>
        </is>
      </c>
      <c r="P19" s="16" t="inlineStr">
        <is>
          <t>补齐关键场景、示例数据和核心交互。</t>
        </is>
      </c>
      <c r="Q19" s="16" t="inlineStr">
        <is>
          <t>待认领</t>
        </is>
      </c>
      <c r="R19" s="16" t="inlineStr">
        <is>
          <t>产品、设计、前端</t>
        </is>
      </c>
      <c r="S19" s="15" t="inlineStr">
        <is>
          <t>v1.0</t>
        </is>
      </c>
      <c r="T19" s="15" t="inlineStr">
        <is>
          <t>建议排期</t>
        </is>
      </c>
      <c r="U19" s="17" t="n">
        <v>46325</v>
      </c>
      <c r="V19" s="16" t="inlineStr"/>
      <c r="W19" s="16" t="inlineStr"/>
      <c r="X19" s="16" t="inlineStr">
        <is>
          <t>可从导航进入；核心信息完整；关键交互可操作；数据在相关页面间保持一致。</t>
        </is>
      </c>
      <c r="Y19" s="16" t="inlineStr">
        <is>
          <t>需确认部门共识与设计稿；仅模拟核心流程，不建设真实后端。</t>
        </is>
      </c>
      <c r="Z19" s="16" t="inlineStr">
        <is>
          <t>待评审范围与负责人。</t>
        </is>
      </c>
      <c r="AA19" s="15" t="inlineStr">
        <is>
          <t>未开始</t>
        </is>
      </c>
      <c r="AB19" s="16" t="n"/>
      <c r="AC19" s="17" t="n">
        <v>46246</v>
      </c>
    </row>
    <row r="20" ht="52" customHeight="1">
      <c r="A20" s="15" t="inlineStr">
        <is>
          <t>DEMO-016</t>
        </is>
      </c>
      <c r="B20" s="16" t="inlineStr">
        <is>
          <t>项目协作</t>
        </is>
      </c>
      <c r="C20" s="16" t="inlineStr">
        <is>
          <t>项目管理</t>
        </is>
      </c>
      <c r="D20" s="16" t="inlineStr">
        <is>
          <t>迭代与里程碑</t>
        </is>
      </c>
      <c r="E20" s="16" t="inlineStr">
        <is>
          <t>新功能</t>
        </is>
      </c>
      <c r="F20" s="15" t="inlineStr">
        <is>
          <t>否</t>
        </is>
      </c>
      <c r="G20" s="16" t="inlineStr">
        <is>
          <t>Demo 模拟</t>
        </is>
      </c>
      <c r="H20" s="16" t="inlineStr">
        <is>
          <t>用统一时间轴连接需求、研发、测试和发布计划。</t>
        </is>
      </c>
      <c r="I20" s="16" t="inlineStr">
        <is>
          <t>跨部门推广规划</t>
        </is>
      </c>
      <c r="J20" s="16" t="inlineStr">
        <is>
          <t>产品、项目管理、研发、测试</t>
        </is>
      </c>
      <c r="K20" s="15" t="inlineStr">
        <is>
          <t>P1</t>
        </is>
      </c>
      <c r="L20" s="15" t="inlineStr">
        <is>
          <t>已规划</t>
        </is>
      </c>
      <c r="M20" s="15" t="inlineStr">
        <is>
          <t>L0 占位可达</t>
        </is>
      </c>
      <c r="N20" s="15" t="inlineStr">
        <is>
          <t>L3 数据联动</t>
        </is>
      </c>
      <c r="O20" s="16" t="inlineStr">
        <is>
          <t>当前导航可达，使用通用占位页面。</t>
        </is>
      </c>
      <c r="P20" s="16" t="inlineStr">
        <is>
          <t>补齐关键场景、示例数据和核心交互。</t>
        </is>
      </c>
      <c r="Q20" s="16" t="inlineStr">
        <is>
          <t>待认领</t>
        </is>
      </c>
      <c r="R20" s="16" t="inlineStr">
        <is>
          <t>产品、设计、前端</t>
        </is>
      </c>
      <c r="S20" s="15" t="inlineStr">
        <is>
          <t>v0.4</t>
        </is>
      </c>
      <c r="T20" s="15" t="inlineStr">
        <is>
          <t>建议排期</t>
        </is>
      </c>
      <c r="U20" s="17" t="n">
        <v>46311</v>
      </c>
      <c r="V20" s="16" t="inlineStr"/>
      <c r="W20" s="16" t="inlineStr"/>
      <c r="X20" s="16" t="inlineStr">
        <is>
          <t>可从导航进入；核心信息完整；关键交互可操作；数据在相关页面间保持一致。</t>
        </is>
      </c>
      <c r="Y20" s="16" t="inlineStr">
        <is>
          <t>需确认部门共识与设计稿；仅模拟核心流程，不建设真实后端。</t>
        </is>
      </c>
      <c r="Z20" s="16" t="inlineStr">
        <is>
          <t>待评审范围与负责人。</t>
        </is>
      </c>
      <c r="AA20" s="15" t="inlineStr">
        <is>
          <t>未开始</t>
        </is>
      </c>
      <c r="AB20" s="16" t="n"/>
      <c r="AC20" s="17" t="n">
        <v>46246</v>
      </c>
    </row>
    <row r="21" ht="52" customHeight="1">
      <c r="A21" s="15" t="inlineStr">
        <is>
          <t>DEMO-017</t>
        </is>
      </c>
      <c r="B21" s="16" t="inlineStr">
        <is>
          <t>需求管理</t>
        </is>
      </c>
      <c r="C21" s="16" t="inlineStr">
        <is>
          <t>需求列表</t>
        </is>
      </c>
      <c r="D21" s="16" t="inlineStr">
        <is>
          <t>需求列表与筛选</t>
        </is>
      </c>
      <c r="E21" s="16" t="inlineStr">
        <is>
          <t>新功能</t>
        </is>
      </c>
      <c r="F21" s="15" t="inlineStr">
        <is>
          <t>否</t>
        </is>
      </c>
      <c r="G21" s="16" t="inlineStr">
        <is>
          <t>Demo 模拟</t>
        </is>
      </c>
      <c r="H21" s="16" t="inlineStr">
        <is>
          <t>按状态、负责人、优先级和迭代浏览需求。</t>
        </is>
      </c>
      <c r="I21" s="16" t="inlineStr">
        <is>
          <t>跨部门推广规划</t>
        </is>
      </c>
      <c r="J21" s="16" t="inlineStr">
        <is>
          <t>产品、研发、测试</t>
        </is>
      </c>
      <c r="K21" s="15" t="inlineStr">
        <is>
          <t>P1</t>
        </is>
      </c>
      <c r="L21" s="15" t="inlineStr">
        <is>
          <t>已规划</t>
        </is>
      </c>
      <c r="M21" s="15" t="inlineStr">
        <is>
          <t>L0 占位可达</t>
        </is>
      </c>
      <c r="N21" s="15" t="inlineStr">
        <is>
          <t>L3 数据联动</t>
        </is>
      </c>
      <c r="O21" s="16" t="inlineStr">
        <is>
          <t>当前导航可达，使用通用占位页面。</t>
        </is>
      </c>
      <c r="P21" s="16" t="inlineStr">
        <is>
          <t>补齐关键场景、示例数据和核心交互。</t>
        </is>
      </c>
      <c r="Q21" s="16" t="inlineStr">
        <is>
          <t>待认领</t>
        </is>
      </c>
      <c r="R21" s="16" t="inlineStr">
        <is>
          <t>产品、设计、前端</t>
        </is>
      </c>
      <c r="S21" s="15" t="inlineStr">
        <is>
          <t>v0.3</t>
        </is>
      </c>
      <c r="T21" s="15" t="inlineStr">
        <is>
          <t>建议排期</t>
        </is>
      </c>
      <c r="U21" s="17" t="n">
        <v>46283</v>
      </c>
      <c r="V21" s="16" t="inlineStr"/>
      <c r="W21" s="18" t="inlineStr">
        <is>
          <t>http://127.0.0.1:5173/demo/#/projects/lighting/requirements</t>
        </is>
      </c>
      <c r="X21" s="16" t="inlineStr">
        <is>
          <t>可从导航进入；核心信息完整；关键交互可操作；数据在相关页面间保持一致。</t>
        </is>
      </c>
      <c r="Y21" s="16" t="inlineStr">
        <is>
          <t>需确认部门共识与设计稿；仅模拟核心流程，不建设真实后端。</t>
        </is>
      </c>
      <c r="Z21" s="16" t="inlineStr">
        <is>
          <t>待评审范围与负责人。</t>
        </is>
      </c>
      <c r="AA21" s="15" t="inlineStr">
        <is>
          <t>未开始</t>
        </is>
      </c>
      <c r="AB21" s="16" t="n"/>
      <c r="AC21" s="17" t="n">
        <v>46246</v>
      </c>
    </row>
    <row r="22" ht="52" customHeight="1">
      <c r="A22" s="15" t="inlineStr">
        <is>
          <t>DEMO-018</t>
        </is>
      </c>
      <c r="B22" s="16" t="inlineStr">
        <is>
          <t>需求管理</t>
        </is>
      </c>
      <c r="C22" s="16" t="inlineStr">
        <is>
          <t>需求详情</t>
        </is>
      </c>
      <c r="D22" s="16" t="inlineStr">
        <is>
          <t>需求详情与状态流转</t>
        </is>
      </c>
      <c r="E22" s="16" t="inlineStr">
        <is>
          <t>新功能</t>
        </is>
      </c>
      <c r="F22" s="15" t="inlineStr">
        <is>
          <t>否</t>
        </is>
      </c>
      <c r="G22" s="16" t="inlineStr">
        <is>
          <t>Demo 模拟</t>
        </is>
      </c>
      <c r="H22" s="16" t="inlineStr">
        <is>
          <t>围绕一个需求展示描述、负责人、验收标准和协作记录。</t>
        </is>
      </c>
      <c r="I22" s="16" t="inlineStr">
        <is>
          <t>跨部门推广规划</t>
        </is>
      </c>
      <c r="J22" s="16" t="inlineStr">
        <is>
          <t>产品、研发、测试</t>
        </is>
      </c>
      <c r="K22" s="15" t="inlineStr">
        <is>
          <t>P1</t>
        </is>
      </c>
      <c r="L22" s="15" t="inlineStr">
        <is>
          <t>已规划</t>
        </is>
      </c>
      <c r="M22" s="15" t="inlineStr">
        <is>
          <t>L0 占位可达</t>
        </is>
      </c>
      <c r="N22" s="15" t="inlineStr">
        <is>
          <t>L3 数据联动</t>
        </is>
      </c>
      <c r="O22" s="16" t="inlineStr">
        <is>
          <t>当前导航可达，使用通用占位页面。</t>
        </is>
      </c>
      <c r="P22" s="16" t="inlineStr">
        <is>
          <t>补齐关键场景、示例数据和核心交互。</t>
        </is>
      </c>
      <c r="Q22" s="16" t="inlineStr">
        <is>
          <t>待认领</t>
        </is>
      </c>
      <c r="R22" s="16" t="inlineStr">
        <is>
          <t>产品、设计、前端</t>
        </is>
      </c>
      <c r="S22" s="15" t="inlineStr">
        <is>
          <t>v0.3</t>
        </is>
      </c>
      <c r="T22" s="15" t="inlineStr">
        <is>
          <t>建议排期</t>
        </is>
      </c>
      <c r="U22" s="17" t="n">
        <v>46283</v>
      </c>
      <c r="V22" s="16" t="inlineStr"/>
      <c r="W22" s="16" t="inlineStr"/>
      <c r="X22" s="16" t="inlineStr">
        <is>
          <t>可从导航进入；核心信息完整；关键交互可操作；数据在相关页面间保持一致。</t>
        </is>
      </c>
      <c r="Y22" s="16" t="inlineStr">
        <is>
          <t>需确认部门共识与设计稿；仅模拟核心流程，不建设真实后端。</t>
        </is>
      </c>
      <c r="Z22" s="16" t="inlineStr">
        <is>
          <t>待评审范围与负责人。</t>
        </is>
      </c>
      <c r="AA22" s="15" t="inlineStr">
        <is>
          <t>未开始</t>
        </is>
      </c>
      <c r="AB22" s="16" t="n"/>
      <c r="AC22" s="17" t="n">
        <v>46246</v>
      </c>
    </row>
    <row r="23" ht="52" customHeight="1">
      <c r="A23" s="15" t="inlineStr">
        <is>
          <t>DEMO-019</t>
        </is>
      </c>
      <c r="B23" s="16" t="inlineStr">
        <is>
          <t>需求管理</t>
        </is>
      </c>
      <c r="C23" s="16" t="inlineStr">
        <is>
          <t>追溯关系</t>
        </is>
      </c>
      <c r="D23" s="16" t="inlineStr">
        <is>
          <t>需求—代码—测试—发布追溯</t>
        </is>
      </c>
      <c r="E23" s="16" t="inlineStr">
        <is>
          <t>新功能</t>
        </is>
      </c>
      <c r="F23" s="15" t="inlineStr">
        <is>
          <t>是</t>
        </is>
      </c>
      <c r="G23" s="16" t="inlineStr">
        <is>
          <t>Demo 模拟</t>
        </is>
      </c>
      <c r="H23" s="16" t="inlineStr">
        <is>
          <t>展示需求如何关联提交、合并请求、测试结果和发布版本。</t>
        </is>
      </c>
      <c r="I23" s="16" t="inlineStr">
        <is>
          <t>跨部门推广规划</t>
        </is>
      </c>
      <c r="J23" s="16" t="inlineStr">
        <is>
          <t>产品、研发、测试、质量</t>
        </is>
      </c>
      <c r="K23" s="15" t="inlineStr">
        <is>
          <t>P0</t>
        </is>
      </c>
      <c r="L23" s="15" t="inlineStr">
        <is>
          <t>已规划</t>
        </is>
      </c>
      <c r="M23" s="15" t="inlineStr">
        <is>
          <t>L0 占位可达</t>
        </is>
      </c>
      <c r="N23" s="15" t="inlineStr">
        <is>
          <t>L4 端到端叙事</t>
        </is>
      </c>
      <c r="O23" s="16" t="inlineStr">
        <is>
          <t>当前导航可达，使用通用占位页面。</t>
        </is>
      </c>
      <c r="P23" s="16" t="inlineStr">
        <is>
          <t>补齐关键场景、示例数据和核心交互。</t>
        </is>
      </c>
      <c r="Q23" s="16" t="inlineStr">
        <is>
          <t>待认领</t>
        </is>
      </c>
      <c r="R23" s="16" t="inlineStr">
        <is>
          <t>产品、设计、前端</t>
        </is>
      </c>
      <c r="S23" s="15" t="inlineStr">
        <is>
          <t>v1.0</t>
        </is>
      </c>
      <c r="T23" s="15" t="inlineStr">
        <is>
          <t>建议排期</t>
        </is>
      </c>
      <c r="U23" s="17" t="n">
        <v>46325</v>
      </c>
      <c r="V23" s="16" t="inlineStr"/>
      <c r="W23" s="16" t="inlineStr"/>
      <c r="X23" s="16" t="inlineStr">
        <is>
          <t>从需求详情可进入关联提交、合并请求、测试结果和发布记录；对象编号与状态一致。</t>
        </is>
      </c>
      <c r="Y23" s="16" t="inlineStr">
        <is>
          <t>需确认部门共识与设计稿；仅模拟核心流程，不建设真实后端。</t>
        </is>
      </c>
      <c r="Z23" s="16" t="inlineStr">
        <is>
          <t>待评审范围与负责人。</t>
        </is>
      </c>
      <c r="AA23" s="15" t="inlineStr">
        <is>
          <t>未开始</t>
        </is>
      </c>
      <c r="AB23" s="16" t="n"/>
      <c r="AC23" s="17" t="n">
        <v>46246</v>
      </c>
    </row>
    <row r="24" ht="52" customHeight="1">
      <c r="A24" s="15" t="inlineStr">
        <is>
          <t>DEMO-020</t>
        </is>
      </c>
      <c r="B24" s="16" t="inlineStr">
        <is>
          <t>项目协作</t>
        </is>
      </c>
      <c r="C24" s="16" t="inlineStr">
        <is>
          <t>项目设置</t>
        </is>
      </c>
      <c r="D24" s="16" t="inlineStr">
        <is>
          <t>项目属性、通知与权限展示</t>
        </is>
      </c>
      <c r="E24" s="16" t="inlineStr">
        <is>
          <t>新功能</t>
        </is>
      </c>
      <c r="F24" s="15" t="inlineStr">
        <is>
          <t>否</t>
        </is>
      </c>
      <c r="G24" s="16" t="inlineStr">
        <is>
          <t>Demo 模拟</t>
        </is>
      </c>
      <c r="H24" s="16" t="inlineStr">
        <is>
          <t>支持讨论项目级配置和治理策略。</t>
        </is>
      </c>
      <c r="I24" s="16" t="inlineStr">
        <is>
          <t>跨部门推广规划</t>
        </is>
      </c>
      <c r="J24" s="16" t="inlineStr">
        <is>
          <t>项目管理、研发管理</t>
        </is>
      </c>
      <c r="K24" s="15" t="inlineStr">
        <is>
          <t>P3</t>
        </is>
      </c>
      <c r="L24" s="15" t="inlineStr">
        <is>
          <t>已规划</t>
        </is>
      </c>
      <c r="M24" s="15" t="inlineStr">
        <is>
          <t>L0 占位可达</t>
        </is>
      </c>
      <c r="N24" s="15" t="inlineStr">
        <is>
          <t>L3 数据联动</t>
        </is>
      </c>
      <c r="O24" s="16" t="inlineStr">
        <is>
          <t>当前导航可达，使用通用占位页面。</t>
        </is>
      </c>
      <c r="P24" s="16" t="inlineStr">
        <is>
          <t>补齐关键场景、示例数据和核心交互。</t>
        </is>
      </c>
      <c r="Q24" s="16" t="inlineStr">
        <is>
          <t>待认领</t>
        </is>
      </c>
      <c r="R24" s="16" t="inlineStr">
        <is>
          <t>产品、设计、前端</t>
        </is>
      </c>
      <c r="S24" s="15" t="inlineStr">
        <is>
          <t>v1.0</t>
        </is>
      </c>
      <c r="T24" s="15" t="inlineStr">
        <is>
          <t>建议排期</t>
        </is>
      </c>
      <c r="U24" s="17" t="n">
        <v>46325</v>
      </c>
      <c r="V24" s="16" t="inlineStr"/>
      <c r="W24" s="18" t="inlineStr">
        <is>
          <t>http://127.0.0.1:5173/demo/#/projects/lighting/settings</t>
        </is>
      </c>
      <c r="X24" s="16" t="inlineStr">
        <is>
          <t>可从导航进入；核心信息完整；关键交互可操作；数据在相关页面间保持一致。</t>
        </is>
      </c>
      <c r="Y24" s="16" t="inlineStr">
        <is>
          <t>需确认部门共识与设计稿；仅模拟核心流程，不建设真实后端。</t>
        </is>
      </c>
      <c r="Z24" s="16" t="inlineStr">
        <is>
          <t>待评审范围与负责人。</t>
        </is>
      </c>
      <c r="AA24" s="15" t="inlineStr">
        <is>
          <t>未开始</t>
        </is>
      </c>
      <c r="AB24" s="16" t="n"/>
      <c r="AC24" s="17" t="n">
        <v>46246</v>
      </c>
    </row>
    <row r="25" ht="52" customHeight="1">
      <c r="A25" s="15" t="inlineStr">
        <is>
          <t>DEMO-021</t>
        </is>
      </c>
      <c r="B25" s="16" t="inlineStr">
        <is>
          <t>代码仓库</t>
        </is>
      </c>
      <c r="C25" s="16" t="inlineStr">
        <is>
          <t>仓库列表</t>
        </is>
      </c>
      <c r="D25" s="16" t="inlineStr">
        <is>
          <t>仓库目录与层级列表</t>
        </is>
      </c>
      <c r="E25" s="16" t="inlineStr">
        <is>
          <t>现有能力</t>
        </is>
      </c>
      <c r="F25" s="15" t="inlineStr">
        <is>
          <t>是</t>
        </is>
      </c>
      <c r="G25" s="16" t="inlineStr">
        <is>
          <t>UI 交互 + 数据联动</t>
        </is>
      </c>
      <c r="H25" s="16" t="inlineStr">
        <is>
          <t>浏览组织、分组和仓库层级，快速进入目标仓库。</t>
        </is>
      </c>
      <c r="I25" s="16" t="inlineStr">
        <is>
          <t>现有 Demo 实现</t>
        </is>
      </c>
      <c r="J25" s="16" t="inlineStr">
        <is>
          <t>产品、研发、设计</t>
        </is>
      </c>
      <c r="K25" s="15" t="inlineStr">
        <is>
          <t>P0</t>
        </is>
      </c>
      <c r="L25" s="15" t="inlineStr">
        <is>
          <t>已完成</t>
        </is>
      </c>
      <c r="M25" s="15" t="inlineStr">
        <is>
          <t>L3 数据联动</t>
        </is>
      </c>
      <c r="N25" s="15" t="inlineStr">
        <is>
          <t>L3 数据联动</t>
        </is>
      </c>
      <c r="O25" s="16" t="inlineStr">
        <is>
          <t>已完成页面、关键交互和示例数据联动。</t>
        </is>
      </c>
      <c r="P25" s="16" t="inlineStr">
        <is>
          <t>纳入回归清单，持续根据部门反馈微调。</t>
        </is>
      </c>
      <c r="Q25" s="16" t="inlineStr">
        <is>
          <t>Demo 小组</t>
        </is>
      </c>
      <c r="R25" s="16" t="inlineStr">
        <is>
          <t>产品、设计、前端</t>
        </is>
      </c>
      <c r="S25" s="15" t="inlineStr">
        <is>
          <t>v0.1</t>
        </is>
      </c>
      <c r="T25" s="15" t="inlineStr">
        <is>
          <t>已确认</t>
        </is>
      </c>
      <c r="U25" s="17" t="n">
        <v>46246</v>
      </c>
      <c r="V25" s="16" t="inlineStr"/>
      <c r="W25" s="18" t="inlineStr">
        <is>
          <t>http://127.0.0.1:5173/demo/#/projects/lighting/code/repositories</t>
        </is>
      </c>
      <c r="X25" s="16" t="inlineStr">
        <is>
          <t>页面可稳定访问；主要交互可操作；刷新和页面跳转后数据语义一致。</t>
        </is>
      </c>
      <c r="Y25" s="16" t="inlineStr">
        <is>
          <t>需防止后续修改破坏跨页面数据一致性。</t>
        </is>
      </c>
      <c r="Z25" s="16" t="inlineStr">
        <is>
          <t>已完成并通过本地类型、构建与页面回归。</t>
        </is>
      </c>
      <c r="AA25" s="15" t="inlineStr">
        <is>
          <t>通过</t>
        </is>
      </c>
      <c r="AB25" s="17" t="n">
        <v>46246</v>
      </c>
      <c r="AC25" s="17" t="n">
        <v>46246</v>
      </c>
    </row>
    <row r="26" ht="52" customHeight="1">
      <c r="A26" s="15" t="inlineStr">
        <is>
          <t>DEMO-022</t>
        </is>
      </c>
      <c r="B26" s="16" t="inlineStr">
        <is>
          <t>代码仓库</t>
        </is>
      </c>
      <c r="C26" s="16" t="inlineStr">
        <is>
          <t>仓库列表</t>
        </is>
      </c>
      <c r="D26" s="16" t="inlineStr">
        <is>
          <t>仓库关键字搜索与排序</t>
        </is>
      </c>
      <c r="E26" s="16" t="inlineStr">
        <is>
          <t>现有能力</t>
        </is>
      </c>
      <c r="F26" s="15" t="inlineStr">
        <is>
          <t>否</t>
        </is>
      </c>
      <c r="G26" s="16" t="inlineStr">
        <is>
          <t>UI 交互 + 数据联动</t>
        </is>
      </c>
      <c r="H26" s="16" t="inlineStr">
        <is>
          <t>在多仓库场景下快速定位目标。</t>
        </is>
      </c>
      <c r="I26" s="16" t="inlineStr">
        <is>
          <t>现有 Demo 实现</t>
        </is>
      </c>
      <c r="J26" s="16" t="inlineStr">
        <is>
          <t>产品、研发、设计</t>
        </is>
      </c>
      <c r="K26" s="15" t="inlineStr">
        <is>
          <t>P1</t>
        </is>
      </c>
      <c r="L26" s="15" t="inlineStr">
        <is>
          <t>已完成</t>
        </is>
      </c>
      <c r="M26" s="15" t="inlineStr">
        <is>
          <t>L3 数据联动</t>
        </is>
      </c>
      <c r="N26" s="15" t="inlineStr">
        <is>
          <t>L3 数据联动</t>
        </is>
      </c>
      <c r="O26" s="16" t="inlineStr">
        <is>
          <t>已完成页面、关键交互和示例数据联动。</t>
        </is>
      </c>
      <c r="P26" s="16" t="inlineStr">
        <is>
          <t>纳入回归清单，持续根据部门反馈微调。</t>
        </is>
      </c>
      <c r="Q26" s="16" t="inlineStr">
        <is>
          <t>Demo 小组</t>
        </is>
      </c>
      <c r="R26" s="16" t="inlineStr">
        <is>
          <t>产品、设计、前端</t>
        </is>
      </c>
      <c r="S26" s="15" t="inlineStr">
        <is>
          <t>v0.1</t>
        </is>
      </c>
      <c r="T26" s="15" t="inlineStr">
        <is>
          <t>已确认</t>
        </is>
      </c>
      <c r="U26" s="17" t="n">
        <v>46246</v>
      </c>
      <c r="V26" s="16" t="inlineStr"/>
      <c r="W26" s="18" t="inlineStr">
        <is>
          <t>http://127.0.0.1:5173/demo/#/projects/lighting/code/repositories</t>
        </is>
      </c>
      <c r="X26" s="16" t="inlineStr">
        <is>
          <t>页面可稳定访问；主要交互可操作；刷新和页面跳转后数据语义一致。</t>
        </is>
      </c>
      <c r="Y26" s="16" t="inlineStr">
        <is>
          <t>需防止后续修改破坏跨页面数据一致性。</t>
        </is>
      </c>
      <c r="Z26" s="16" t="inlineStr">
        <is>
          <t>已完成并通过本地类型、构建与页面回归。</t>
        </is>
      </c>
      <c r="AA26" s="15" t="inlineStr">
        <is>
          <t>通过</t>
        </is>
      </c>
      <c r="AB26" s="17" t="n">
        <v>46246</v>
      </c>
      <c r="AC26" s="17" t="n">
        <v>46246</v>
      </c>
    </row>
    <row r="27" ht="52" customHeight="1">
      <c r="A27" s="15" t="inlineStr">
        <is>
          <t>DEMO-023</t>
        </is>
      </c>
      <c r="B27" s="16" t="inlineStr">
        <is>
          <t>代码仓库</t>
        </is>
      </c>
      <c r="C27" s="16" t="inlineStr">
        <is>
          <t>仓库列表</t>
        </is>
      </c>
      <c r="D27" s="16" t="inlineStr">
        <is>
          <t>高级筛选与收藏视图</t>
        </is>
      </c>
      <c r="E27" s="16" t="inlineStr">
        <is>
          <t>新功能</t>
        </is>
      </c>
      <c r="F27" s="15" t="inlineStr">
        <is>
          <t>否</t>
        </is>
      </c>
      <c r="G27" s="16" t="inlineStr">
        <is>
          <t>Demo 模拟</t>
        </is>
      </c>
      <c r="H27" s="16" t="inlineStr">
        <is>
          <t>按语言、活跃度、负责人、收藏状态筛选仓库。</t>
        </is>
      </c>
      <c r="I27" s="16" t="inlineStr">
        <is>
          <t>跨部门推广规划</t>
        </is>
      </c>
      <c r="J27" s="16" t="inlineStr">
        <is>
          <t>产品、研发</t>
        </is>
      </c>
      <c r="K27" s="15" t="inlineStr">
        <is>
          <t>P2</t>
        </is>
      </c>
      <c r="L27" s="15" t="inlineStr">
        <is>
          <t>已规划</t>
        </is>
      </c>
      <c r="M27" s="15" t="inlineStr">
        <is>
          <t>L1 静态展示</t>
        </is>
      </c>
      <c r="N27" s="15" t="inlineStr">
        <is>
          <t>L2 可交互</t>
        </is>
      </c>
      <c r="O27" s="16" t="inlineStr">
        <is>
          <t>已预留筛选和设置入口，部分按钮仍为禁用演示态。</t>
        </is>
      </c>
      <c r="P27" s="16" t="inlineStr">
        <is>
          <t>补齐关键场景、示例数据和核心交互。</t>
        </is>
      </c>
      <c r="Q27" s="16" t="inlineStr">
        <is>
          <t>待认领</t>
        </is>
      </c>
      <c r="R27" s="16" t="inlineStr">
        <is>
          <t>产品、设计、前端</t>
        </is>
      </c>
      <c r="S27" s="15" t="inlineStr">
        <is>
          <t>v0.3</t>
        </is>
      </c>
      <c r="T27" s="15" t="inlineStr">
        <is>
          <t>建议排期</t>
        </is>
      </c>
      <c r="U27" s="17" t="n">
        <v>46283</v>
      </c>
      <c r="V27" s="16" t="inlineStr"/>
      <c r="W27" s="18" t="inlineStr">
        <is>
          <t>http://127.0.0.1:5173/demo/#/projects/lighting/code/repositories</t>
        </is>
      </c>
      <c r="X27" s="16" t="inlineStr">
        <is>
          <t>可从导航进入；核心信息完整；关键交互可操作；数据在相关页面间保持一致。</t>
        </is>
      </c>
      <c r="Y27" s="16" t="inlineStr">
        <is>
          <t>需确认部门共识与设计稿；仅模拟核心流程，不建设真实后端。</t>
        </is>
      </c>
      <c r="Z27" s="16" t="inlineStr">
        <is>
          <t>待评审范围与负责人。</t>
        </is>
      </c>
      <c r="AA27" s="15" t="inlineStr">
        <is>
          <t>未开始</t>
        </is>
      </c>
      <c r="AB27" s="16" t="n"/>
      <c r="AC27" s="17" t="n">
        <v>46246</v>
      </c>
    </row>
    <row r="28" ht="52" customHeight="1">
      <c r="A28" s="15" t="inlineStr">
        <is>
          <t>DEMO-024</t>
        </is>
      </c>
      <c r="B28" s="16" t="inlineStr">
        <is>
          <t>代码仓库</t>
        </is>
      </c>
      <c r="C28" s="16" t="inlineStr">
        <is>
          <t>仓库创建</t>
        </is>
      </c>
      <c r="D28" s="16" t="inlineStr">
        <is>
          <t>新建／导入仓库弹窗</t>
        </is>
      </c>
      <c r="E28" s="16" t="inlineStr">
        <is>
          <t>新功能</t>
        </is>
      </c>
      <c r="F28" s="15" t="inlineStr">
        <is>
          <t>否</t>
        </is>
      </c>
      <c r="G28" s="16" t="inlineStr">
        <is>
          <t>Demo 模拟</t>
        </is>
      </c>
      <c r="H28" s="16" t="inlineStr">
        <is>
          <t>完整演示从代码仓库入口创建或导入仓库的流程。</t>
        </is>
      </c>
      <c r="I28" s="16" t="inlineStr">
        <is>
          <t>跨部门推广规划</t>
        </is>
      </c>
      <c r="J28" s="16" t="inlineStr">
        <is>
          <t>产品、研发</t>
        </is>
      </c>
      <c r="K28" s="15" t="inlineStr">
        <is>
          <t>P2</t>
        </is>
      </c>
      <c r="L28" s="15" t="inlineStr">
        <is>
          <t>已规划</t>
        </is>
      </c>
      <c r="M28" s="15" t="inlineStr">
        <is>
          <t>L0 占位可达</t>
        </is>
      </c>
      <c r="N28" s="15" t="inlineStr">
        <is>
          <t>L2 可交互</t>
        </is>
      </c>
      <c r="O28" s="16" t="inlineStr">
        <is>
          <t>当前导航可达，使用通用占位页面。</t>
        </is>
      </c>
      <c r="P28" s="16" t="inlineStr">
        <is>
          <t>补齐关键场景、示例数据和核心交互。</t>
        </is>
      </c>
      <c r="Q28" s="16" t="inlineStr">
        <is>
          <t>待认领</t>
        </is>
      </c>
      <c r="R28" s="16" t="inlineStr">
        <is>
          <t>产品、设计、前端</t>
        </is>
      </c>
      <c r="S28" s="15" t="inlineStr">
        <is>
          <t>v0.3</t>
        </is>
      </c>
      <c r="T28" s="15" t="inlineStr">
        <is>
          <t>建议排期</t>
        </is>
      </c>
      <c r="U28" s="17" t="n">
        <v>46283</v>
      </c>
      <c r="V28" s="16" t="inlineStr"/>
      <c r="W28" s="18" t="inlineStr">
        <is>
          <t>http://127.0.0.1:5173/demo/#/projects/lighting/code/repositories</t>
        </is>
      </c>
      <c r="X28" s="16" t="inlineStr">
        <is>
          <t>点击新建仓库可打开表单；确认后新增一条本地示例仓库并给出成功反馈；无需真实 Git 服务。</t>
        </is>
      </c>
      <c r="Y28" s="16" t="inlineStr">
        <is>
          <t>需确认部门共识与设计稿；仅模拟核心流程，不建设真实后端。</t>
        </is>
      </c>
      <c r="Z28" s="16" t="inlineStr">
        <is>
          <t>待评审范围与负责人。</t>
        </is>
      </c>
      <c r="AA28" s="15" t="inlineStr">
        <is>
          <t>未开始</t>
        </is>
      </c>
      <c r="AB28" s="16" t="n"/>
      <c r="AC28" s="17" t="n">
        <v>46246</v>
      </c>
    </row>
    <row r="29" ht="52" customHeight="1">
      <c r="A29" s="15" t="inlineStr">
        <is>
          <t>DEMO-025</t>
        </is>
      </c>
      <c r="B29" s="16" t="inlineStr">
        <is>
          <t>代码仓库</t>
        </is>
      </c>
      <c r="C29" s="16" t="inlineStr">
        <is>
          <t>仓库浏览</t>
        </is>
      </c>
      <c r="D29" s="16" t="inlineStr">
        <is>
          <t>文件树、目录与文件内容浏览</t>
        </is>
      </c>
      <c r="E29" s="16" t="inlineStr">
        <is>
          <t>现有能力</t>
        </is>
      </c>
      <c r="F29" s="15" t="inlineStr">
        <is>
          <t>是</t>
        </is>
      </c>
      <c r="G29" s="16" t="inlineStr">
        <is>
          <t>UI 交互 + 数据联动</t>
        </is>
      </c>
      <c r="H29" s="16" t="inlineStr">
        <is>
          <t>模拟真实仓库的日常代码阅读路径。</t>
        </is>
      </c>
      <c r="I29" s="16" t="inlineStr">
        <is>
          <t>现有 Demo 实现</t>
        </is>
      </c>
      <c r="J29" s="16" t="inlineStr">
        <is>
          <t>产品、研发、设计</t>
        </is>
      </c>
      <c r="K29" s="15" t="inlineStr">
        <is>
          <t>P0</t>
        </is>
      </c>
      <c r="L29" s="15" t="inlineStr">
        <is>
          <t>已完成</t>
        </is>
      </c>
      <c r="M29" s="15" t="inlineStr">
        <is>
          <t>L3 数据联动</t>
        </is>
      </c>
      <c r="N29" s="15" t="inlineStr">
        <is>
          <t>L3 数据联动</t>
        </is>
      </c>
      <c r="O29" s="16" t="inlineStr">
        <is>
          <t>已完成页面、关键交互和示例数据联动。</t>
        </is>
      </c>
      <c r="P29" s="16" t="inlineStr">
        <is>
          <t>纳入回归清单，持续根据部门反馈微调。</t>
        </is>
      </c>
      <c r="Q29" s="16" t="inlineStr">
        <is>
          <t>Demo 小组</t>
        </is>
      </c>
      <c r="R29" s="16" t="inlineStr">
        <is>
          <t>产品、设计、前端</t>
        </is>
      </c>
      <c r="S29" s="15" t="inlineStr">
        <is>
          <t>v0.1</t>
        </is>
      </c>
      <c r="T29" s="15" t="inlineStr">
        <is>
          <t>已确认</t>
        </is>
      </c>
      <c r="U29" s="17" t="n">
        <v>46246</v>
      </c>
      <c r="V29" s="16" t="inlineStr"/>
      <c r="W29" s="18" t="inlineStr">
        <is>
          <t>http://127.0.0.1:5173/demo/#/projects/lighting/code/repositories/flight-control-core</t>
        </is>
      </c>
      <c r="X29" s="16" t="inlineStr">
        <is>
          <t>页面可稳定访问；主要交互可操作；刷新和页面跳转后数据语义一致。</t>
        </is>
      </c>
      <c r="Y29" s="16" t="inlineStr">
        <is>
          <t>需防止后续修改破坏跨页面数据一致性。</t>
        </is>
      </c>
      <c r="Z29" s="16" t="inlineStr">
        <is>
          <t>已完成并通过本地类型、构建与页面回归。</t>
        </is>
      </c>
      <c r="AA29" s="15" t="inlineStr">
        <is>
          <t>通过</t>
        </is>
      </c>
      <c r="AB29" s="17" t="n">
        <v>46246</v>
      </c>
      <c r="AC29" s="17" t="n">
        <v>46246</v>
      </c>
    </row>
    <row r="30" ht="52" customHeight="1">
      <c r="A30" s="15" t="inlineStr">
        <is>
          <t>DEMO-026</t>
        </is>
      </c>
      <c r="B30" s="16" t="inlineStr">
        <is>
          <t>代码仓库</t>
        </is>
      </c>
      <c r="C30" s="16" t="inlineStr">
        <is>
          <t>仓库浏览</t>
        </is>
      </c>
      <c r="D30" s="16" t="inlineStr">
        <is>
          <t>分支／标签切换下拉框</t>
        </is>
      </c>
      <c r="E30" s="16" t="inlineStr">
        <is>
          <t>现有能力</t>
        </is>
      </c>
      <c r="F30" s="15" t="inlineStr">
        <is>
          <t>是</t>
        </is>
      </c>
      <c r="G30" s="16" t="inlineStr">
        <is>
          <t>UI 交互 + 数据联动</t>
        </is>
      </c>
      <c r="H30" s="16" t="inlineStr">
        <is>
          <t>切换引用后文件、提交和计数同步变化。</t>
        </is>
      </c>
      <c r="I30" s="16" t="inlineStr">
        <is>
          <t>现有 Demo 实现</t>
        </is>
      </c>
      <c r="J30" s="16" t="inlineStr">
        <is>
          <t>产品、研发、设计</t>
        </is>
      </c>
      <c r="K30" s="15" t="inlineStr">
        <is>
          <t>P0</t>
        </is>
      </c>
      <c r="L30" s="15" t="inlineStr">
        <is>
          <t>已完成</t>
        </is>
      </c>
      <c r="M30" s="15" t="inlineStr">
        <is>
          <t>L3 数据联动</t>
        </is>
      </c>
      <c r="N30" s="15" t="inlineStr">
        <is>
          <t>L3 数据联动</t>
        </is>
      </c>
      <c r="O30" s="16" t="inlineStr">
        <is>
          <t>已完成页面、关键交互和示例数据联动。</t>
        </is>
      </c>
      <c r="P30" s="16" t="inlineStr">
        <is>
          <t>纳入回归清单，持续根据部门反馈微调。</t>
        </is>
      </c>
      <c r="Q30" s="16" t="inlineStr">
        <is>
          <t>Demo 小组</t>
        </is>
      </c>
      <c r="R30" s="16" t="inlineStr">
        <is>
          <t>产品、设计、前端</t>
        </is>
      </c>
      <c r="S30" s="15" t="inlineStr">
        <is>
          <t>v0.1</t>
        </is>
      </c>
      <c r="T30" s="15" t="inlineStr">
        <is>
          <t>已确认</t>
        </is>
      </c>
      <c r="U30" s="17" t="n">
        <v>46246</v>
      </c>
      <c r="V30" s="18" t="inlineStr">
        <is>
          <t>https://www.figma.com/design/AH5UD6NGdbtqy2z4o9k7QW/%E8%BD%AF%E4%BB%B6%E5%B7%A5%E5%8E%82?node-id=524-35227</t>
        </is>
      </c>
      <c r="W30" s="18" t="inlineStr">
        <is>
          <t>http://127.0.0.1:5173/demo/#/projects/lighting/code/repositories/flight-control-core</t>
        </is>
      </c>
      <c r="X30" s="16" t="inlineStr">
        <is>
          <t>页面可稳定访问；主要交互可操作；刷新和页面跳转后数据语义一致。</t>
        </is>
      </c>
      <c r="Y30" s="16" t="inlineStr">
        <is>
          <t>需防止后续修改破坏跨页面数据一致性。</t>
        </is>
      </c>
      <c r="Z30" s="16" t="inlineStr">
        <is>
          <t>已完成并通过本地类型、构建与页面回归。</t>
        </is>
      </c>
      <c r="AA30" s="15" t="inlineStr">
        <is>
          <t>通过</t>
        </is>
      </c>
      <c r="AB30" s="17" t="n">
        <v>46246</v>
      </c>
      <c r="AC30" s="17" t="n">
        <v>46246</v>
      </c>
    </row>
    <row r="31" ht="52" customHeight="1">
      <c r="A31" s="15" t="inlineStr">
        <is>
          <t>DEMO-027</t>
        </is>
      </c>
      <c r="B31" s="16" t="inlineStr">
        <is>
          <t>代码仓库</t>
        </is>
      </c>
      <c r="C31" s="16" t="inlineStr">
        <is>
          <t>仓库浏览</t>
        </is>
      </c>
      <c r="D31" s="16" t="inlineStr">
        <is>
          <t>代码克隆下拉框</t>
        </is>
      </c>
      <c r="E31" s="16" t="inlineStr">
        <is>
          <t>现有能力</t>
        </is>
      </c>
      <c r="F31" s="15" t="inlineStr">
        <is>
          <t>否</t>
        </is>
      </c>
      <c r="G31" s="16" t="inlineStr">
        <is>
          <t>UI 交互 + 数据联动</t>
        </is>
      </c>
      <c r="H31" s="16" t="inlineStr">
        <is>
          <t>展示 SSH／HTTP 克隆地址并支持复制。</t>
        </is>
      </c>
      <c r="I31" s="16" t="inlineStr">
        <is>
          <t>现有 Demo 实现</t>
        </is>
      </c>
      <c r="J31" s="16" t="inlineStr">
        <is>
          <t>产品、研发、设计</t>
        </is>
      </c>
      <c r="K31" s="15" t="inlineStr">
        <is>
          <t>P1</t>
        </is>
      </c>
      <c r="L31" s="15" t="inlineStr">
        <is>
          <t>已完成</t>
        </is>
      </c>
      <c r="M31" s="15" t="inlineStr">
        <is>
          <t>L3 数据联动</t>
        </is>
      </c>
      <c r="N31" s="15" t="inlineStr">
        <is>
          <t>L3 数据联动</t>
        </is>
      </c>
      <c r="O31" s="16" t="inlineStr">
        <is>
          <t>已完成页面、关键交互和示例数据联动。</t>
        </is>
      </c>
      <c r="P31" s="16" t="inlineStr">
        <is>
          <t>纳入回归清单，持续根据部门反馈微调。</t>
        </is>
      </c>
      <c r="Q31" s="16" t="inlineStr">
        <is>
          <t>Demo 小组</t>
        </is>
      </c>
      <c r="R31" s="16" t="inlineStr">
        <is>
          <t>产品、设计、前端</t>
        </is>
      </c>
      <c r="S31" s="15" t="inlineStr">
        <is>
          <t>v0.1</t>
        </is>
      </c>
      <c r="T31" s="15" t="inlineStr">
        <is>
          <t>已确认</t>
        </is>
      </c>
      <c r="U31" s="17" t="n">
        <v>46246</v>
      </c>
      <c r="V31" s="18" t="inlineStr">
        <is>
          <t>https://www.figma.com/design/AH5UD6NGdbtqy2z4o9k7QW/%E8%BD%AF%E4%BB%B6%E5%B7%A5%E5%8E%82?node-id=524-35243</t>
        </is>
      </c>
      <c r="W31" s="18" t="inlineStr">
        <is>
          <t>http://127.0.0.1:5173/demo/#/projects/lighting/code/repositories/flight-control-core</t>
        </is>
      </c>
      <c r="X31" s="16" t="inlineStr">
        <is>
          <t>页面可稳定访问；主要交互可操作；刷新和页面跳转后数据语义一致。</t>
        </is>
      </c>
      <c r="Y31" s="16" t="inlineStr">
        <is>
          <t>需防止后续修改破坏跨页面数据一致性。</t>
        </is>
      </c>
      <c r="Z31" s="16" t="inlineStr">
        <is>
          <t>已完成并通过本地类型、构建与页面回归。</t>
        </is>
      </c>
      <c r="AA31" s="15" t="inlineStr">
        <is>
          <t>通过</t>
        </is>
      </c>
      <c r="AB31" s="17" t="n">
        <v>46246</v>
      </c>
      <c r="AC31" s="17" t="n">
        <v>46246</v>
      </c>
    </row>
    <row r="32" ht="52" customHeight="1">
      <c r="A32" s="15" t="inlineStr">
        <is>
          <t>DEMO-028</t>
        </is>
      </c>
      <c r="B32" s="16" t="inlineStr">
        <is>
          <t>代码仓库</t>
        </is>
      </c>
      <c r="C32" s="16" t="inlineStr">
        <is>
          <t>文件详情</t>
        </is>
      </c>
      <c r="D32" s="16" t="inlineStr">
        <is>
          <t>打开文件—代码内容</t>
        </is>
      </c>
      <c r="E32" s="16" t="inlineStr">
        <is>
          <t>现有能力</t>
        </is>
      </c>
      <c r="F32" s="15" t="inlineStr">
        <is>
          <t>是</t>
        </is>
      </c>
      <c r="G32" s="16" t="inlineStr">
        <is>
          <t>UI 交互 + 数据联动</t>
        </is>
      </c>
      <c r="H32" s="16" t="inlineStr">
        <is>
          <t>查看文件名称、大小、内容和操作区。</t>
        </is>
      </c>
      <c r="I32" s="16" t="inlineStr">
        <is>
          <t>现有 Demo 实现</t>
        </is>
      </c>
      <c r="J32" s="16" t="inlineStr">
        <is>
          <t>产品、研发、设计</t>
        </is>
      </c>
      <c r="K32" s="15" t="inlineStr">
        <is>
          <t>P0</t>
        </is>
      </c>
      <c r="L32" s="15" t="inlineStr">
        <is>
          <t>已完成</t>
        </is>
      </c>
      <c r="M32" s="15" t="inlineStr">
        <is>
          <t>L3 数据联动</t>
        </is>
      </c>
      <c r="N32" s="15" t="inlineStr">
        <is>
          <t>L3 数据联动</t>
        </is>
      </c>
      <c r="O32" s="16" t="inlineStr">
        <is>
          <t>已完成页面、关键交互和示例数据联动。</t>
        </is>
      </c>
      <c r="P32" s="16" t="inlineStr">
        <is>
          <t>纳入回归清单，持续根据部门反馈微调。</t>
        </is>
      </c>
      <c r="Q32" s="16" t="inlineStr">
        <is>
          <t>Demo 小组</t>
        </is>
      </c>
      <c r="R32" s="16" t="inlineStr">
        <is>
          <t>产品、设计、前端</t>
        </is>
      </c>
      <c r="S32" s="15" t="inlineStr">
        <is>
          <t>v0.1</t>
        </is>
      </c>
      <c r="T32" s="15" t="inlineStr">
        <is>
          <t>已确认</t>
        </is>
      </c>
      <c r="U32" s="17" t="n">
        <v>46246</v>
      </c>
      <c r="V32" s="16" t="inlineStr"/>
      <c r="W32" s="18" t="inlineStr">
        <is>
          <t>http://127.0.0.1:5173/demo/#/projects/lighting/code/repositories/flight-control-core</t>
        </is>
      </c>
      <c r="X32" s="16" t="inlineStr">
        <is>
          <t>页面可稳定访问；主要交互可操作；刷新和页面跳转后数据语义一致。</t>
        </is>
      </c>
      <c r="Y32" s="16" t="inlineStr">
        <is>
          <t>需防止后续修改破坏跨页面数据一致性。</t>
        </is>
      </c>
      <c r="Z32" s="16" t="inlineStr">
        <is>
          <t>已完成并通过本地类型、构建与页面回归。</t>
        </is>
      </c>
      <c r="AA32" s="15" t="inlineStr">
        <is>
          <t>通过</t>
        </is>
      </c>
      <c r="AB32" s="17" t="n">
        <v>46246</v>
      </c>
      <c r="AC32" s="17" t="n">
        <v>46246</v>
      </c>
    </row>
    <row r="33" ht="52" customHeight="1">
      <c r="A33" s="15" t="inlineStr">
        <is>
          <t>DEMO-029</t>
        </is>
      </c>
      <c r="B33" s="16" t="inlineStr">
        <is>
          <t>代码仓库</t>
        </is>
      </c>
      <c r="C33" s="16" t="inlineStr">
        <is>
          <t>文件详情</t>
        </is>
      </c>
      <c r="D33" s="16" t="inlineStr">
        <is>
          <t>打开文件—修改追溯</t>
        </is>
      </c>
      <c r="E33" s="16" t="inlineStr">
        <is>
          <t>现有能力</t>
        </is>
      </c>
      <c r="F33" s="15" t="inlineStr">
        <is>
          <t>是</t>
        </is>
      </c>
      <c r="G33" s="16" t="inlineStr">
        <is>
          <t>UI 交互 + 数据联动</t>
        </is>
      </c>
      <c r="H33" s="16" t="inlineStr">
        <is>
          <t>按提交与作者展示逐行归属，模拟 blame 场景。</t>
        </is>
      </c>
      <c r="I33" s="16" t="inlineStr">
        <is>
          <t>现有 Demo 实现</t>
        </is>
      </c>
      <c r="J33" s="16" t="inlineStr">
        <is>
          <t>产品、研发、设计</t>
        </is>
      </c>
      <c r="K33" s="15" t="inlineStr">
        <is>
          <t>P0</t>
        </is>
      </c>
      <c r="L33" s="15" t="inlineStr">
        <is>
          <t>已完成</t>
        </is>
      </c>
      <c r="M33" s="15" t="inlineStr">
        <is>
          <t>L3 数据联动</t>
        </is>
      </c>
      <c r="N33" s="15" t="inlineStr">
        <is>
          <t>L3 数据联动</t>
        </is>
      </c>
      <c r="O33" s="16" t="inlineStr">
        <is>
          <t>已完成页面、关键交互和示例数据联动。</t>
        </is>
      </c>
      <c r="P33" s="16" t="inlineStr">
        <is>
          <t>纳入回归清单，持续根据部门反馈微调。</t>
        </is>
      </c>
      <c r="Q33" s="16" t="inlineStr">
        <is>
          <t>Demo 小组</t>
        </is>
      </c>
      <c r="R33" s="16" t="inlineStr">
        <is>
          <t>产品、设计、前端</t>
        </is>
      </c>
      <c r="S33" s="15" t="inlineStr">
        <is>
          <t>v0.1</t>
        </is>
      </c>
      <c r="T33" s="15" t="inlineStr">
        <is>
          <t>已确认</t>
        </is>
      </c>
      <c r="U33" s="17" t="n">
        <v>46246</v>
      </c>
      <c r="V33" s="18" t="inlineStr">
        <is>
          <t>https://www.figma.com/design/AH5UD6NGdbtqy2z4o9k7QW/%E8%BD%AF%E4%BB%B6%E5%B7%A5%E5%8E%82?node-id=475-4006</t>
        </is>
      </c>
      <c r="W33" s="18" t="inlineStr">
        <is>
          <t>http://127.0.0.1:5173/demo/#/projects/lighting/code/repositories/flight-control-core</t>
        </is>
      </c>
      <c r="X33" s="16" t="inlineStr">
        <is>
          <t>页面可稳定访问；主要交互可操作；刷新和页面跳转后数据语义一致。</t>
        </is>
      </c>
      <c r="Y33" s="16" t="inlineStr">
        <is>
          <t>需防止后续修改破坏跨页面数据一致性。</t>
        </is>
      </c>
      <c r="Z33" s="16" t="inlineStr">
        <is>
          <t>已完成并通过本地类型、构建与页面回归。</t>
        </is>
      </c>
      <c r="AA33" s="15" t="inlineStr">
        <is>
          <t>通过</t>
        </is>
      </c>
      <c r="AB33" s="17" t="n">
        <v>46246</v>
      </c>
      <c r="AC33" s="17" t="n">
        <v>46246</v>
      </c>
    </row>
    <row r="34" ht="52" customHeight="1">
      <c r="A34" s="15" t="inlineStr">
        <is>
          <t>DEMO-030</t>
        </is>
      </c>
      <c r="B34" s="16" t="inlineStr">
        <is>
          <t>代码仓库</t>
        </is>
      </c>
      <c r="C34" s="16" t="inlineStr">
        <is>
          <t>文件详情</t>
        </is>
      </c>
      <c r="D34" s="16" t="inlineStr">
        <is>
          <t>打开文件—文件历史</t>
        </is>
      </c>
      <c r="E34" s="16" t="inlineStr">
        <is>
          <t>现有能力</t>
        </is>
      </c>
      <c r="F34" s="15" t="inlineStr">
        <is>
          <t>是</t>
        </is>
      </c>
      <c r="G34" s="16" t="inlineStr">
        <is>
          <t>UI 交互 + 数据联动</t>
        </is>
      </c>
      <c r="H34" s="16" t="inlineStr">
        <is>
          <t>以提交项展示当前文件的修改历史。</t>
        </is>
      </c>
      <c r="I34" s="16" t="inlineStr">
        <is>
          <t>现有 Demo 实现</t>
        </is>
      </c>
      <c r="J34" s="16" t="inlineStr">
        <is>
          <t>产品、研发、设计</t>
        </is>
      </c>
      <c r="K34" s="15" t="inlineStr">
        <is>
          <t>P0</t>
        </is>
      </c>
      <c r="L34" s="15" t="inlineStr">
        <is>
          <t>已完成</t>
        </is>
      </c>
      <c r="M34" s="15" t="inlineStr">
        <is>
          <t>L3 数据联动</t>
        </is>
      </c>
      <c r="N34" s="15" t="inlineStr">
        <is>
          <t>L3 数据联动</t>
        </is>
      </c>
      <c r="O34" s="16" t="inlineStr">
        <is>
          <t>已完成页面、关键交互和示例数据联动。</t>
        </is>
      </c>
      <c r="P34" s="16" t="inlineStr">
        <is>
          <t>纳入回归清单，持续根据部门反馈微调。</t>
        </is>
      </c>
      <c r="Q34" s="16" t="inlineStr">
        <is>
          <t>Demo 小组</t>
        </is>
      </c>
      <c r="R34" s="16" t="inlineStr">
        <is>
          <t>产品、设计、前端</t>
        </is>
      </c>
      <c r="S34" s="15" t="inlineStr">
        <is>
          <t>v0.1</t>
        </is>
      </c>
      <c r="T34" s="15" t="inlineStr">
        <is>
          <t>已确认</t>
        </is>
      </c>
      <c r="U34" s="17" t="n">
        <v>46246</v>
      </c>
      <c r="V34" s="18" t="inlineStr">
        <is>
          <t>https://www.figma.com/design/AH5UD6NGdbtqy2z4o9k7QW/%E8%BD%AF%E4%BB%B6%E5%B7%A5%E5%8E%82?node-id=524-35732</t>
        </is>
      </c>
      <c r="W34" s="18" t="inlineStr">
        <is>
          <t>http://127.0.0.1:5173/demo/#/projects/lighting/code/repositories/flight-control-core</t>
        </is>
      </c>
      <c r="X34" s="16" t="inlineStr">
        <is>
          <t>页面可稳定访问；主要交互可操作；刷新和页面跳转后数据语义一致。</t>
        </is>
      </c>
      <c r="Y34" s="16" t="inlineStr">
        <is>
          <t>需防止后续修改破坏跨页面数据一致性。</t>
        </is>
      </c>
      <c r="Z34" s="16" t="inlineStr">
        <is>
          <t>已完成并通过本地类型、构建与页面回归。</t>
        </is>
      </c>
      <c r="AA34" s="15" t="inlineStr">
        <is>
          <t>通过</t>
        </is>
      </c>
      <c r="AB34" s="17" t="n">
        <v>46246</v>
      </c>
      <c r="AC34" s="17" t="n">
        <v>46246</v>
      </c>
    </row>
    <row r="35" ht="52" customHeight="1">
      <c r="A35" s="15" t="inlineStr">
        <is>
          <t>DEMO-031</t>
        </is>
      </c>
      <c r="B35" s="16" t="inlineStr">
        <is>
          <t>代码仓库</t>
        </is>
      </c>
      <c r="C35" s="16" t="inlineStr">
        <is>
          <t>文件详情</t>
        </is>
      </c>
      <c r="D35" s="16" t="inlineStr">
        <is>
          <t>文件差异对比</t>
        </is>
      </c>
      <c r="E35" s="16" t="inlineStr">
        <is>
          <t>新功能</t>
        </is>
      </c>
      <c r="F35" s="15" t="inlineStr">
        <is>
          <t>是</t>
        </is>
      </c>
      <c r="G35" s="16" t="inlineStr">
        <is>
          <t>Demo 模拟</t>
        </is>
      </c>
      <c r="H35" s="16" t="inlineStr">
        <is>
          <t>从文件历史或提交详情进入新旧版本 diff，辅助评审沟通。</t>
        </is>
      </c>
      <c r="I35" s="16" t="inlineStr">
        <is>
          <t>跨部门推广规划</t>
        </is>
      </c>
      <c r="J35" s="16" t="inlineStr">
        <is>
          <t>产品、研发</t>
        </is>
      </c>
      <c r="K35" s="15" t="inlineStr">
        <is>
          <t>P0</t>
        </is>
      </c>
      <c r="L35" s="15" t="inlineStr">
        <is>
          <t>已规划</t>
        </is>
      </c>
      <c r="M35" s="15" t="inlineStr">
        <is>
          <t>L0 占位可达</t>
        </is>
      </c>
      <c r="N35" s="15" t="inlineStr">
        <is>
          <t>L3 数据联动</t>
        </is>
      </c>
      <c r="O35" s="16" t="inlineStr">
        <is>
          <t>当前导航可达，使用通用占位页面。</t>
        </is>
      </c>
      <c r="P35" s="16" t="inlineStr">
        <is>
          <t>补齐关键场景、示例数据和核心交互。</t>
        </is>
      </c>
      <c r="Q35" s="16" t="inlineStr">
        <is>
          <t>待认领</t>
        </is>
      </c>
      <c r="R35" s="16" t="inlineStr">
        <is>
          <t>产品、设计、前端</t>
        </is>
      </c>
      <c r="S35" s="15" t="inlineStr">
        <is>
          <t>v0.2</t>
        </is>
      </c>
      <c r="T35" s="15" t="inlineStr">
        <is>
          <t>建议排期</t>
        </is>
      </c>
      <c r="U35" s="17" t="n">
        <v>46262</v>
      </c>
      <c r="V35" s="16" t="inlineStr"/>
      <c r="W35" s="16" t="inlineStr"/>
      <c r="X35" s="16" t="inlineStr">
        <is>
          <t>可选择两个版本；展示增删行语义色、文件路径和提交信息；复用 Code Experience 组件。</t>
        </is>
      </c>
      <c r="Y35" s="16" t="inlineStr">
        <is>
          <t>需确认部门共识与设计稿；仅模拟核心流程，不建设真实后端。</t>
        </is>
      </c>
      <c r="Z35" s="16" t="inlineStr">
        <is>
          <t>待评审范围与负责人。</t>
        </is>
      </c>
      <c r="AA35" s="15" t="inlineStr">
        <is>
          <t>未开始</t>
        </is>
      </c>
      <c r="AB35" s="16" t="n"/>
      <c r="AC35" s="17" t="n">
        <v>46246</v>
      </c>
    </row>
    <row r="36" ht="52" customHeight="1">
      <c r="A36" s="15" t="inlineStr">
        <is>
          <t>DEMO-032</t>
        </is>
      </c>
      <c r="B36" s="16" t="inlineStr">
        <is>
          <t>代码仓库</t>
        </is>
      </c>
      <c r="C36" s="16" t="inlineStr">
        <is>
          <t>文件详情</t>
        </is>
      </c>
      <c r="D36" s="16" t="inlineStr">
        <is>
          <t>仓库内代码搜索</t>
        </is>
      </c>
      <c r="E36" s="16" t="inlineStr">
        <is>
          <t>新功能</t>
        </is>
      </c>
      <c r="F36" s="15" t="inlineStr">
        <is>
          <t>否</t>
        </is>
      </c>
      <c r="G36" s="16" t="inlineStr">
        <is>
          <t>Demo 模拟</t>
        </is>
      </c>
      <c r="H36" s="16" t="inlineStr">
        <is>
          <t>按文件名或内容快速定位代码片段。</t>
        </is>
      </c>
      <c r="I36" s="16" t="inlineStr">
        <is>
          <t>跨部门推广规划</t>
        </is>
      </c>
      <c r="J36" s="16" t="inlineStr">
        <is>
          <t>产品、研发</t>
        </is>
      </c>
      <c r="K36" s="15" t="inlineStr">
        <is>
          <t>P2</t>
        </is>
      </c>
      <c r="L36" s="15" t="inlineStr">
        <is>
          <t>已规划</t>
        </is>
      </c>
      <c r="M36" s="15" t="inlineStr">
        <is>
          <t>L0 占位可达</t>
        </is>
      </c>
      <c r="N36" s="15" t="inlineStr">
        <is>
          <t>L3 数据联动</t>
        </is>
      </c>
      <c r="O36" s="16" t="inlineStr">
        <is>
          <t>当前导航可达，使用通用占位页面。</t>
        </is>
      </c>
      <c r="P36" s="16" t="inlineStr">
        <is>
          <t>补齐关键场景、示例数据和核心交互。</t>
        </is>
      </c>
      <c r="Q36" s="16" t="inlineStr">
        <is>
          <t>待认领</t>
        </is>
      </c>
      <c r="R36" s="16" t="inlineStr">
        <is>
          <t>产品、设计、前端</t>
        </is>
      </c>
      <c r="S36" s="15" t="inlineStr">
        <is>
          <t>v0.3</t>
        </is>
      </c>
      <c r="T36" s="15" t="inlineStr">
        <is>
          <t>建议排期</t>
        </is>
      </c>
      <c r="U36" s="17" t="n">
        <v>46283</v>
      </c>
      <c r="V36" s="16" t="inlineStr"/>
      <c r="W36" s="16" t="inlineStr"/>
      <c r="X36" s="16" t="inlineStr">
        <is>
          <t>可从导航进入；核心信息完整；关键交互可操作；数据在相关页面间保持一致。</t>
        </is>
      </c>
      <c r="Y36" s="16" t="inlineStr">
        <is>
          <t>需确认部门共识与设计稿；仅模拟核心流程，不建设真实后端。</t>
        </is>
      </c>
      <c r="Z36" s="16" t="inlineStr">
        <is>
          <t>待评审范围与负责人。</t>
        </is>
      </c>
      <c r="AA36" s="15" t="inlineStr">
        <is>
          <t>未开始</t>
        </is>
      </c>
      <c r="AB36" s="16" t="n"/>
      <c r="AC36" s="17" t="n">
        <v>46246</v>
      </c>
    </row>
    <row r="37" ht="52" customHeight="1">
      <c r="A37" s="15" t="inlineStr">
        <is>
          <t>DEMO-033</t>
        </is>
      </c>
      <c r="B37" s="16" t="inlineStr">
        <is>
          <t>代码仓库</t>
        </is>
      </c>
      <c r="C37" s="16" t="inlineStr">
        <is>
          <t>文件详情</t>
        </is>
      </c>
      <c r="D37" s="16" t="inlineStr">
        <is>
          <t>编辑、上传与下载演示</t>
        </is>
      </c>
      <c r="E37" s="16" t="inlineStr">
        <is>
          <t>新功能</t>
        </is>
      </c>
      <c r="F37" s="15" t="inlineStr">
        <is>
          <t>否</t>
        </is>
      </c>
      <c r="G37" s="16" t="inlineStr">
        <is>
          <t>Demo 模拟</t>
        </is>
      </c>
      <c r="H37" s="16" t="inlineStr">
        <is>
          <t>展示常见文件操作入口及成功反馈，但不写入真实仓库。</t>
        </is>
      </c>
      <c r="I37" s="16" t="inlineStr">
        <is>
          <t>跨部门推广规划</t>
        </is>
      </c>
      <c r="J37" s="16" t="inlineStr">
        <is>
          <t>产品、研发</t>
        </is>
      </c>
      <c r="K37" s="15" t="inlineStr">
        <is>
          <t>P3</t>
        </is>
      </c>
      <c r="L37" s="15" t="inlineStr">
        <is>
          <t>待评估</t>
        </is>
      </c>
      <c r="M37" s="15" t="inlineStr">
        <is>
          <t>L0 占位可达</t>
        </is>
      </c>
      <c r="N37" s="15" t="inlineStr">
        <is>
          <t>L2 可交互</t>
        </is>
      </c>
      <c r="O37" s="16" t="inlineStr">
        <is>
          <t>当前导航可达，使用通用占位页面。</t>
        </is>
      </c>
      <c r="P37" s="16" t="inlineStr">
        <is>
          <t>补齐关键场景、示例数据和核心交互。</t>
        </is>
      </c>
      <c r="Q37" s="16" t="inlineStr">
        <is>
          <t>待认领</t>
        </is>
      </c>
      <c r="R37" s="16" t="inlineStr">
        <is>
          <t>产品、设计、前端</t>
        </is>
      </c>
      <c r="S37" s="15" t="inlineStr">
        <is>
          <t>v1.0</t>
        </is>
      </c>
      <c r="T37" s="15" t="inlineStr">
        <is>
          <t>建议排期</t>
        </is>
      </c>
      <c r="U37" s="17" t="n">
        <v>46325</v>
      </c>
      <c r="V37" s="16" t="inlineStr"/>
      <c r="W37" s="16" t="inlineStr"/>
      <c r="X37" s="16" t="inlineStr">
        <is>
          <t>可从导航进入；核心信息完整；关键交互可操作；数据在相关页面间保持一致。</t>
        </is>
      </c>
      <c r="Y37" s="16" t="inlineStr">
        <is>
          <t>需要明确哪些写操作值得模拟，避免让使用者误认为已接入真实 Git。</t>
        </is>
      </c>
      <c r="Z37" s="16" t="inlineStr">
        <is>
          <t>待评审范围与负责人。</t>
        </is>
      </c>
      <c r="AA37" s="15" t="inlineStr">
        <is>
          <t>未开始</t>
        </is>
      </c>
      <c r="AB37" s="16" t="n"/>
      <c r="AC37" s="17" t="n">
        <v>46246</v>
      </c>
    </row>
    <row r="38" ht="52" customHeight="1">
      <c r="A38" s="15" t="inlineStr">
        <is>
          <t>DEMO-034</t>
        </is>
      </c>
      <c r="B38" s="16" t="inlineStr">
        <is>
          <t>代码仓库</t>
        </is>
      </c>
      <c r="C38" s="16" t="inlineStr">
        <is>
          <t>提交</t>
        </is>
      </c>
      <c r="D38" s="16" t="inlineStr">
        <is>
          <t>提交列表、筛选与描述展开</t>
        </is>
      </c>
      <c r="E38" s="16" t="inlineStr">
        <is>
          <t>现有能力</t>
        </is>
      </c>
      <c r="F38" s="15" t="inlineStr">
        <is>
          <t>是</t>
        </is>
      </c>
      <c r="G38" s="16" t="inlineStr">
        <is>
          <t>UI 交互 + 数据联动</t>
        </is>
      </c>
      <c r="H38" s="16" t="inlineStr">
        <is>
          <t>按分支和日期查看提交，展开描述并复制提交号。</t>
        </is>
      </c>
      <c r="I38" s="16" t="inlineStr">
        <is>
          <t>现有 Demo 实现</t>
        </is>
      </c>
      <c r="J38" s="16" t="inlineStr">
        <is>
          <t>产品、研发、设计</t>
        </is>
      </c>
      <c r="K38" s="15" t="inlineStr">
        <is>
          <t>P0</t>
        </is>
      </c>
      <c r="L38" s="15" t="inlineStr">
        <is>
          <t>已完成</t>
        </is>
      </c>
      <c r="M38" s="15" t="inlineStr">
        <is>
          <t>L3 数据联动</t>
        </is>
      </c>
      <c r="N38" s="15" t="inlineStr">
        <is>
          <t>L3 数据联动</t>
        </is>
      </c>
      <c r="O38" s="16" t="inlineStr">
        <is>
          <t>已完成页面、关键交互和示例数据联动。</t>
        </is>
      </c>
      <c r="P38" s="16" t="inlineStr">
        <is>
          <t>纳入回归清单，持续根据部门反馈微调。</t>
        </is>
      </c>
      <c r="Q38" s="16" t="inlineStr">
        <is>
          <t>Demo 小组</t>
        </is>
      </c>
      <c r="R38" s="16" t="inlineStr">
        <is>
          <t>产品、设计、前端</t>
        </is>
      </c>
      <c r="S38" s="15" t="inlineStr">
        <is>
          <t>v0.1</t>
        </is>
      </c>
      <c r="T38" s="15" t="inlineStr">
        <is>
          <t>已确认</t>
        </is>
      </c>
      <c r="U38" s="17" t="n">
        <v>46246</v>
      </c>
      <c r="V38" s="18" t="inlineStr">
        <is>
          <t>https://www.figma.com/design/AH5UD6NGdbtqy2z4o9k7QW/%E8%BD%AF%E4%BB%B6%E5%B7%A5%E5%8E%82?node-id=486-5192</t>
        </is>
      </c>
      <c r="W38" s="18" t="inlineStr">
        <is>
          <t>http://127.0.0.1:5173/demo/#/projects/lighting/code/repositories/flight-control-core/commits?branch=main</t>
        </is>
      </c>
      <c r="X38" s="16" t="inlineStr">
        <is>
          <t>页面可稳定访问；主要交互可操作；刷新和页面跳转后数据语义一致。</t>
        </is>
      </c>
      <c r="Y38" s="16" t="inlineStr">
        <is>
          <t>需防止后续修改破坏跨页面数据一致性。</t>
        </is>
      </c>
      <c r="Z38" s="16" t="inlineStr">
        <is>
          <t>已完成并通过本地类型、构建与页面回归。</t>
        </is>
      </c>
      <c r="AA38" s="15" t="inlineStr">
        <is>
          <t>通过</t>
        </is>
      </c>
      <c r="AB38" s="17" t="n">
        <v>46246</v>
      </c>
      <c r="AC38" s="17" t="n">
        <v>46246</v>
      </c>
    </row>
    <row r="39" ht="52" customHeight="1">
      <c r="A39" s="15" t="inlineStr">
        <is>
          <t>DEMO-035</t>
        </is>
      </c>
      <c r="B39" s="16" t="inlineStr">
        <is>
          <t>代码仓库</t>
        </is>
      </c>
      <c r="C39" s="16" t="inlineStr">
        <is>
          <t>提交</t>
        </is>
      </c>
      <c r="D39" s="16" t="inlineStr">
        <is>
          <t>提交详情与变更文件</t>
        </is>
      </c>
      <c r="E39" s="16" t="inlineStr">
        <is>
          <t>新功能</t>
        </is>
      </c>
      <c r="F39" s="15" t="inlineStr">
        <is>
          <t>是</t>
        </is>
      </c>
      <c r="G39" s="16" t="inlineStr">
        <is>
          <t>Demo 模拟</t>
        </is>
      </c>
      <c r="H39" s="16" t="inlineStr">
        <is>
          <t>查看单次提交说明、关联请求、文件列表和 diff。</t>
        </is>
      </c>
      <c r="I39" s="16" t="inlineStr">
        <is>
          <t>跨部门推广规划</t>
        </is>
      </c>
      <c r="J39" s="16" t="inlineStr">
        <is>
          <t>产品、研发</t>
        </is>
      </c>
      <c r="K39" s="15" t="inlineStr">
        <is>
          <t>P0</t>
        </is>
      </c>
      <c r="L39" s="15" t="inlineStr">
        <is>
          <t>已规划</t>
        </is>
      </c>
      <c r="M39" s="15" t="inlineStr">
        <is>
          <t>L0 占位可达</t>
        </is>
      </c>
      <c r="N39" s="15" t="inlineStr">
        <is>
          <t>L3 数据联动</t>
        </is>
      </c>
      <c r="O39" s="16" t="inlineStr">
        <is>
          <t>当前导航可达，使用通用占位页面。</t>
        </is>
      </c>
      <c r="P39" s="16" t="inlineStr">
        <is>
          <t>补齐关键场景、示例数据和核心交互。</t>
        </is>
      </c>
      <c r="Q39" s="16" t="inlineStr">
        <is>
          <t>待认领</t>
        </is>
      </c>
      <c r="R39" s="16" t="inlineStr">
        <is>
          <t>产品、设计、前端</t>
        </is>
      </c>
      <c r="S39" s="15" t="inlineStr">
        <is>
          <t>v0.2</t>
        </is>
      </c>
      <c r="T39" s="15" t="inlineStr">
        <is>
          <t>建议排期</t>
        </is>
      </c>
      <c r="U39" s="17" t="n">
        <v>46262</v>
      </c>
      <c r="V39" s="18" t="inlineStr">
        <is>
          <t>https://www.figma.com/design/AH5UD6NGdbtqy2z4o9k7QW/%E8%BD%AF%E4%BB%B6%E5%B7%A5%E5%8E%82?node-id=486-5192</t>
        </is>
      </c>
      <c r="W39" s="16" t="inlineStr"/>
      <c r="X39" s="16" t="inlineStr">
        <is>
          <t>点击提交标题进入详情；变更文件、增删统计、关联合并请求与文件 diff 数据一致。</t>
        </is>
      </c>
      <c r="Y39" s="16" t="inlineStr">
        <is>
          <t>需确认部门共识与设计稿；仅模拟核心流程，不建设真实后端。</t>
        </is>
      </c>
      <c r="Z39" s="16" t="inlineStr">
        <is>
          <t>待评审范围与负责人。</t>
        </is>
      </c>
      <c r="AA39" s="15" t="inlineStr">
        <is>
          <t>未开始</t>
        </is>
      </c>
      <c r="AB39" s="16" t="n"/>
      <c r="AC39" s="17" t="n">
        <v>46246</v>
      </c>
    </row>
    <row r="40" ht="52" customHeight="1">
      <c r="A40" s="15" t="inlineStr">
        <is>
          <t>DEMO-036</t>
        </is>
      </c>
      <c r="B40" s="16" t="inlineStr">
        <is>
          <t>代码仓库</t>
        </is>
      </c>
      <c r="C40" s="16" t="inlineStr">
        <is>
          <t>分支</t>
        </is>
      </c>
      <c r="D40" s="16" t="inlineStr">
        <is>
          <t>分支列表与真实计数</t>
        </is>
      </c>
      <c r="E40" s="16" t="inlineStr">
        <is>
          <t>现有能力</t>
        </is>
      </c>
      <c r="F40" s="15" t="inlineStr">
        <is>
          <t>是</t>
        </is>
      </c>
      <c r="G40" s="16" t="inlineStr">
        <is>
          <t>UI 交互 + 数据联动</t>
        </is>
      </c>
      <c r="H40" s="16" t="inlineStr">
        <is>
          <t>查看分支状态、更新人、合并请求和领先／滞后。</t>
        </is>
      </c>
      <c r="I40" s="16" t="inlineStr">
        <is>
          <t>现有 Demo 实现</t>
        </is>
      </c>
      <c r="J40" s="16" t="inlineStr">
        <is>
          <t>产品、研发、设计</t>
        </is>
      </c>
      <c r="K40" s="15" t="inlineStr">
        <is>
          <t>P0</t>
        </is>
      </c>
      <c r="L40" s="15" t="inlineStr">
        <is>
          <t>已完成</t>
        </is>
      </c>
      <c r="M40" s="15" t="inlineStr">
        <is>
          <t>L3 数据联动</t>
        </is>
      </c>
      <c r="N40" s="15" t="inlineStr">
        <is>
          <t>L3 数据联动</t>
        </is>
      </c>
      <c r="O40" s="16" t="inlineStr">
        <is>
          <t>已完成页面、关键交互和示例数据联动。</t>
        </is>
      </c>
      <c r="P40" s="16" t="inlineStr">
        <is>
          <t>纳入回归清单，持续根据部门反馈微调。</t>
        </is>
      </c>
      <c r="Q40" s="16" t="inlineStr">
        <is>
          <t>Demo 小组</t>
        </is>
      </c>
      <c r="R40" s="16" t="inlineStr">
        <is>
          <t>产品、设计、前端</t>
        </is>
      </c>
      <c r="S40" s="15" t="inlineStr">
        <is>
          <t>v0.1</t>
        </is>
      </c>
      <c r="T40" s="15" t="inlineStr">
        <is>
          <t>已确认</t>
        </is>
      </c>
      <c r="U40" s="17" t="n">
        <v>46246</v>
      </c>
      <c r="V40" s="18" t="inlineStr">
        <is>
          <t>https://www.figma.com/design/AH5UD6NGdbtqy2z4o9k7QW/%E8%BD%AF%E4%BB%B6%E5%B7%A5%E5%8E%82?node-id=494-33747</t>
        </is>
      </c>
      <c r="W40" s="18" t="inlineStr">
        <is>
          <t>http://127.0.0.1:5173/demo/#/projects/lighting/code/repositories/flight-control-core/branches</t>
        </is>
      </c>
      <c r="X40" s="16" t="inlineStr">
        <is>
          <t>页面可稳定访问；主要交互可操作；刷新和页面跳转后数据语义一致。</t>
        </is>
      </c>
      <c r="Y40" s="16" t="inlineStr">
        <is>
          <t>需防止后续修改破坏跨页面数据一致性。</t>
        </is>
      </c>
      <c r="Z40" s="16" t="inlineStr">
        <is>
          <t>已完成并通过本地类型、构建与页面回归。</t>
        </is>
      </c>
      <c r="AA40" s="15" t="inlineStr">
        <is>
          <t>通过</t>
        </is>
      </c>
      <c r="AB40" s="17" t="n">
        <v>46246</v>
      </c>
      <c r="AC40" s="17" t="n">
        <v>46246</v>
      </c>
    </row>
    <row r="41" ht="52" customHeight="1">
      <c r="A41" s="15" t="inlineStr">
        <is>
          <t>DEMO-037</t>
        </is>
      </c>
      <c r="B41" s="16" t="inlineStr">
        <is>
          <t>代码仓库</t>
        </is>
      </c>
      <c r="C41" s="16" t="inlineStr">
        <is>
          <t>分支</t>
        </is>
      </c>
      <c r="D41" s="16" t="inlineStr">
        <is>
          <t>新建分支弹窗</t>
        </is>
      </c>
      <c r="E41" s="16" t="inlineStr">
        <is>
          <t>现有能力</t>
        </is>
      </c>
      <c r="F41" s="15" t="inlineStr">
        <is>
          <t>否</t>
        </is>
      </c>
      <c r="G41" s="16" t="inlineStr">
        <is>
          <t>UI 交互</t>
        </is>
      </c>
      <c r="H41" s="16" t="inlineStr">
        <is>
          <t>模拟从指定来源创建分支并反馈成功。</t>
        </is>
      </c>
      <c r="I41" s="16" t="inlineStr">
        <is>
          <t>现有 Demo 实现</t>
        </is>
      </c>
      <c r="J41" s="16" t="inlineStr">
        <is>
          <t>产品、研发、设计</t>
        </is>
      </c>
      <c r="K41" s="15" t="inlineStr">
        <is>
          <t>P1</t>
        </is>
      </c>
      <c r="L41" s="15" t="inlineStr">
        <is>
          <t>已完成</t>
        </is>
      </c>
      <c r="M41" s="15" t="inlineStr">
        <is>
          <t>L3 数据联动</t>
        </is>
      </c>
      <c r="N41" s="15" t="inlineStr">
        <is>
          <t>L3 数据联动</t>
        </is>
      </c>
      <c r="O41" s="16" t="inlineStr">
        <is>
          <t>已完成页面、关键交互和示例数据联动。</t>
        </is>
      </c>
      <c r="P41" s="16" t="inlineStr">
        <is>
          <t>纳入回归清单，持续根据部门反馈微调。</t>
        </is>
      </c>
      <c r="Q41" s="16" t="inlineStr">
        <is>
          <t>Demo 小组</t>
        </is>
      </c>
      <c r="R41" s="16" t="inlineStr">
        <is>
          <t>产品、设计、前端</t>
        </is>
      </c>
      <c r="S41" s="15" t="inlineStr">
        <is>
          <t>v0.1</t>
        </is>
      </c>
      <c r="T41" s="15" t="inlineStr">
        <is>
          <t>已确认</t>
        </is>
      </c>
      <c r="U41" s="17" t="n">
        <v>46246</v>
      </c>
      <c r="V41" s="18" t="inlineStr">
        <is>
          <t>https://www.figma.com/design/AH5UD6NGdbtqy2z4o9k7QW/%E8%BD%AF%E4%BB%B6%E5%B7%A5%E5%8E%82?node-id=524-35535</t>
        </is>
      </c>
      <c r="W41" s="18" t="inlineStr">
        <is>
          <t>http://127.0.0.1:5173/demo/#/projects/lighting/code/repositories/flight-control-core/branches</t>
        </is>
      </c>
      <c r="X41" s="16" t="inlineStr">
        <is>
          <t>页面可稳定访问；主要交互可操作；刷新和页面跳转后数据语义一致。</t>
        </is>
      </c>
      <c r="Y41" s="16" t="inlineStr">
        <is>
          <t>需防止后续修改破坏跨页面数据一致性。</t>
        </is>
      </c>
      <c r="Z41" s="16" t="inlineStr">
        <is>
          <t>已完成并通过本地类型、构建与页面回归。</t>
        </is>
      </c>
      <c r="AA41" s="15" t="inlineStr">
        <is>
          <t>通过</t>
        </is>
      </c>
      <c r="AB41" s="17" t="n">
        <v>46246</v>
      </c>
      <c r="AC41" s="17" t="n">
        <v>46246</v>
      </c>
    </row>
    <row r="42" ht="52" customHeight="1">
      <c r="A42" s="15" t="inlineStr">
        <is>
          <t>DEMO-038</t>
        </is>
      </c>
      <c r="B42" s="16" t="inlineStr">
        <is>
          <t>代码仓库</t>
        </is>
      </c>
      <c r="C42" s="16" t="inlineStr">
        <is>
          <t>分支</t>
        </is>
      </c>
      <c r="D42" s="16" t="inlineStr">
        <is>
          <t>保护分支与删除禁用态</t>
        </is>
      </c>
      <c r="E42" s="16" t="inlineStr">
        <is>
          <t>现有能力</t>
        </is>
      </c>
      <c r="F42" s="15" t="inlineStr">
        <is>
          <t>否</t>
        </is>
      </c>
      <c r="G42" s="16" t="inlineStr">
        <is>
          <t>UI 交互 + 数据联动</t>
        </is>
      </c>
      <c r="H42" s="16" t="inlineStr">
        <is>
          <t>表达默认分支、保护分支的操作限制。</t>
        </is>
      </c>
      <c r="I42" s="16" t="inlineStr">
        <is>
          <t>现有 Demo 实现</t>
        </is>
      </c>
      <c r="J42" s="16" t="inlineStr">
        <is>
          <t>产品、研发、设计</t>
        </is>
      </c>
      <c r="K42" s="15" t="inlineStr">
        <is>
          <t>P1</t>
        </is>
      </c>
      <c r="L42" s="15" t="inlineStr">
        <is>
          <t>已完成</t>
        </is>
      </c>
      <c r="M42" s="15" t="inlineStr">
        <is>
          <t>L3 数据联动</t>
        </is>
      </c>
      <c r="N42" s="15" t="inlineStr">
        <is>
          <t>L3 数据联动</t>
        </is>
      </c>
      <c r="O42" s="16" t="inlineStr">
        <is>
          <t>已完成页面、关键交互和示例数据联动。</t>
        </is>
      </c>
      <c r="P42" s="16" t="inlineStr">
        <is>
          <t>纳入回归清单，持续根据部门反馈微调。</t>
        </is>
      </c>
      <c r="Q42" s="16" t="inlineStr">
        <is>
          <t>Demo 小组</t>
        </is>
      </c>
      <c r="R42" s="16" t="inlineStr">
        <is>
          <t>产品、设计、前端</t>
        </is>
      </c>
      <c r="S42" s="15" t="inlineStr">
        <is>
          <t>v0.1</t>
        </is>
      </c>
      <c r="T42" s="15" t="inlineStr">
        <is>
          <t>已确认</t>
        </is>
      </c>
      <c r="U42" s="17" t="n">
        <v>46246</v>
      </c>
      <c r="V42" s="16" t="inlineStr"/>
      <c r="W42" s="18" t="inlineStr">
        <is>
          <t>http://127.0.0.1:5173/demo/#/projects/lighting/code/repositories/flight-control-core/branches</t>
        </is>
      </c>
      <c r="X42" s="16" t="inlineStr">
        <is>
          <t>页面可稳定访问；主要交互可操作；刷新和页面跳转后数据语义一致。</t>
        </is>
      </c>
      <c r="Y42" s="16" t="inlineStr">
        <is>
          <t>需防止后续修改破坏跨页面数据一致性。</t>
        </is>
      </c>
      <c r="Z42" s="16" t="inlineStr">
        <is>
          <t>已完成并通过本地类型、构建与页面回归。</t>
        </is>
      </c>
      <c r="AA42" s="15" t="inlineStr">
        <is>
          <t>通过</t>
        </is>
      </c>
      <c r="AB42" s="17" t="n">
        <v>46246</v>
      </c>
      <c r="AC42" s="17" t="n">
        <v>46246</v>
      </c>
    </row>
    <row r="43" ht="52" customHeight="1">
      <c r="A43" s="15" t="inlineStr">
        <is>
          <t>DEMO-039</t>
        </is>
      </c>
      <c r="B43" s="16" t="inlineStr">
        <is>
          <t>代码仓库</t>
        </is>
      </c>
      <c r="C43" s="16" t="inlineStr">
        <is>
          <t>标签</t>
        </is>
      </c>
      <c r="D43" s="16" t="inlineStr">
        <is>
          <t>标签列表与描述展开</t>
        </is>
      </c>
      <c r="E43" s="16" t="inlineStr">
        <is>
          <t>现有能力</t>
        </is>
      </c>
      <c r="F43" s="15" t="inlineStr">
        <is>
          <t>是</t>
        </is>
      </c>
      <c r="G43" s="16" t="inlineStr">
        <is>
          <t>UI 交互 + 数据联动</t>
        </is>
      </c>
      <c r="H43" s="16" t="inlineStr">
        <is>
          <t>查看标签、创建人、提交、校验状态和下载入口。</t>
        </is>
      </c>
      <c r="I43" s="16" t="inlineStr">
        <is>
          <t>现有 Demo 实现</t>
        </is>
      </c>
      <c r="J43" s="16" t="inlineStr">
        <is>
          <t>产品、研发、设计</t>
        </is>
      </c>
      <c r="K43" s="15" t="inlineStr">
        <is>
          <t>P0</t>
        </is>
      </c>
      <c r="L43" s="15" t="inlineStr">
        <is>
          <t>已完成</t>
        </is>
      </c>
      <c r="M43" s="15" t="inlineStr">
        <is>
          <t>L3 数据联动</t>
        </is>
      </c>
      <c r="N43" s="15" t="inlineStr">
        <is>
          <t>L3 数据联动</t>
        </is>
      </c>
      <c r="O43" s="16" t="inlineStr">
        <is>
          <t>已完成页面、关键交互和示例数据联动。</t>
        </is>
      </c>
      <c r="P43" s="16" t="inlineStr">
        <is>
          <t>纳入回归清单，持续根据部门反馈微调。</t>
        </is>
      </c>
      <c r="Q43" s="16" t="inlineStr">
        <is>
          <t>Demo 小组</t>
        </is>
      </c>
      <c r="R43" s="16" t="inlineStr">
        <is>
          <t>产品、设计、前端</t>
        </is>
      </c>
      <c r="S43" s="15" t="inlineStr">
        <is>
          <t>v0.1</t>
        </is>
      </c>
      <c r="T43" s="15" t="inlineStr">
        <is>
          <t>已确认</t>
        </is>
      </c>
      <c r="U43" s="17" t="n">
        <v>46246</v>
      </c>
      <c r="V43" s="18" t="inlineStr">
        <is>
          <t>https://www.figma.com/design/AH5UD6NGdbtqy2z4o9k7QW/%E8%BD%AF%E4%BB%B6%E5%B7%A5%E5%8E%82?node-id=519-5677</t>
        </is>
      </c>
      <c r="W43" s="18" t="inlineStr">
        <is>
          <t>http://127.0.0.1:5173/demo/#/projects/lighting/code/repositories/flight-control-core/tags</t>
        </is>
      </c>
      <c r="X43" s="16" t="inlineStr">
        <is>
          <t>页面可稳定访问；主要交互可操作；刷新和页面跳转后数据语义一致。</t>
        </is>
      </c>
      <c r="Y43" s="16" t="inlineStr">
        <is>
          <t>需防止后续修改破坏跨页面数据一致性。</t>
        </is>
      </c>
      <c r="Z43" s="16" t="inlineStr">
        <is>
          <t>已完成并通过本地类型、构建与页面回归。</t>
        </is>
      </c>
      <c r="AA43" s="15" t="inlineStr">
        <is>
          <t>通过</t>
        </is>
      </c>
      <c r="AB43" s="17" t="n">
        <v>46246</v>
      </c>
      <c r="AC43" s="17" t="n">
        <v>46246</v>
      </c>
    </row>
    <row r="44" ht="52" customHeight="1">
      <c r="A44" s="15" t="inlineStr">
        <is>
          <t>DEMO-040</t>
        </is>
      </c>
      <c r="B44" s="16" t="inlineStr">
        <is>
          <t>代码仓库</t>
        </is>
      </c>
      <c r="C44" s="16" t="inlineStr">
        <is>
          <t>标签</t>
        </is>
      </c>
      <c r="D44" s="16" t="inlineStr">
        <is>
          <t>新建标签弹窗</t>
        </is>
      </c>
      <c r="E44" s="16" t="inlineStr">
        <is>
          <t>现有能力</t>
        </is>
      </c>
      <c r="F44" s="15" t="inlineStr">
        <is>
          <t>否</t>
        </is>
      </c>
      <c r="G44" s="16" t="inlineStr">
        <is>
          <t>UI 交互</t>
        </is>
      </c>
      <c r="H44" s="16" t="inlineStr">
        <is>
          <t>模拟从分支或提交创建标签并反馈成功。</t>
        </is>
      </c>
      <c r="I44" s="16" t="inlineStr">
        <is>
          <t>现有 Demo 实现</t>
        </is>
      </c>
      <c r="J44" s="16" t="inlineStr">
        <is>
          <t>产品、研发、设计</t>
        </is>
      </c>
      <c r="K44" s="15" t="inlineStr">
        <is>
          <t>P1</t>
        </is>
      </c>
      <c r="L44" s="15" t="inlineStr">
        <is>
          <t>已完成</t>
        </is>
      </c>
      <c r="M44" s="15" t="inlineStr">
        <is>
          <t>L3 数据联动</t>
        </is>
      </c>
      <c r="N44" s="15" t="inlineStr">
        <is>
          <t>L3 数据联动</t>
        </is>
      </c>
      <c r="O44" s="16" t="inlineStr">
        <is>
          <t>已完成页面、关键交互和示例数据联动。</t>
        </is>
      </c>
      <c r="P44" s="16" t="inlineStr">
        <is>
          <t>纳入回归清单，持续根据部门反馈微调。</t>
        </is>
      </c>
      <c r="Q44" s="16" t="inlineStr">
        <is>
          <t>Demo 小组</t>
        </is>
      </c>
      <c r="R44" s="16" t="inlineStr">
        <is>
          <t>产品、设计、前端</t>
        </is>
      </c>
      <c r="S44" s="15" t="inlineStr">
        <is>
          <t>v0.1</t>
        </is>
      </c>
      <c r="T44" s="15" t="inlineStr">
        <is>
          <t>已确认</t>
        </is>
      </c>
      <c r="U44" s="17" t="n">
        <v>46246</v>
      </c>
      <c r="V44" s="18" t="inlineStr">
        <is>
          <t>https://www.figma.com/design/AH5UD6NGdbtqy2z4o9k7QW/%E8%BD%AF%E4%BB%B6%E5%B7%A5%E5%8E%82?node-id=524-35535</t>
        </is>
      </c>
      <c r="W44" s="18" t="inlineStr">
        <is>
          <t>http://127.0.0.1:5173/demo/#/projects/lighting/code/repositories/flight-control-core/tags</t>
        </is>
      </c>
      <c r="X44" s="16" t="inlineStr">
        <is>
          <t>页面可稳定访问；主要交互可操作；刷新和页面跳转后数据语义一致。</t>
        </is>
      </c>
      <c r="Y44" s="16" t="inlineStr">
        <is>
          <t>需防止后续修改破坏跨页面数据一致性。</t>
        </is>
      </c>
      <c r="Z44" s="16" t="inlineStr">
        <is>
          <t>已完成并通过本地类型、构建与页面回归。</t>
        </is>
      </c>
      <c r="AA44" s="15" t="inlineStr">
        <is>
          <t>通过</t>
        </is>
      </c>
      <c r="AB44" s="17" t="n">
        <v>46246</v>
      </c>
      <c r="AC44" s="17" t="n">
        <v>46246</v>
      </c>
    </row>
    <row r="45" ht="52" customHeight="1">
      <c r="A45" s="15" t="inlineStr">
        <is>
          <t>DEMO-041</t>
        </is>
      </c>
      <c r="B45" s="16" t="inlineStr">
        <is>
          <t>代码仓库</t>
        </is>
      </c>
      <c r="C45" s="16" t="inlineStr">
        <is>
          <t>合并请求</t>
        </is>
      </c>
      <c r="D45" s="16" t="inlineStr">
        <is>
          <t>合并请求列表与状态筛选</t>
        </is>
      </c>
      <c r="E45" s="16" t="inlineStr">
        <is>
          <t>现有能力</t>
        </is>
      </c>
      <c r="F45" s="15" t="inlineStr">
        <is>
          <t>是</t>
        </is>
      </c>
      <c r="G45" s="16" t="inlineStr">
        <is>
          <t>UI 交互 + 数据联动</t>
        </is>
      </c>
      <c r="H45" s="16" t="inlineStr">
        <is>
          <t>查看开启、已合并、已关闭等请求，并呈现分支流和变更量。</t>
        </is>
      </c>
      <c r="I45" s="16" t="inlineStr">
        <is>
          <t>现有 Demo 实现</t>
        </is>
      </c>
      <c r="J45" s="16" t="inlineStr">
        <is>
          <t>产品、研发、设计</t>
        </is>
      </c>
      <c r="K45" s="15" t="inlineStr">
        <is>
          <t>P0</t>
        </is>
      </c>
      <c r="L45" s="15" t="inlineStr">
        <is>
          <t>已完成</t>
        </is>
      </c>
      <c r="M45" s="15" t="inlineStr">
        <is>
          <t>L3 数据联动</t>
        </is>
      </c>
      <c r="N45" s="15" t="inlineStr">
        <is>
          <t>L3 数据联动</t>
        </is>
      </c>
      <c r="O45" s="16" t="inlineStr">
        <is>
          <t>已完成页面、关键交互和示例数据联动。</t>
        </is>
      </c>
      <c r="P45" s="16" t="inlineStr">
        <is>
          <t>纳入回归清单，持续根据部门反馈微调。</t>
        </is>
      </c>
      <c r="Q45" s="16" t="inlineStr">
        <is>
          <t>Demo 小组</t>
        </is>
      </c>
      <c r="R45" s="16" t="inlineStr">
        <is>
          <t>产品、设计、前端</t>
        </is>
      </c>
      <c r="S45" s="15" t="inlineStr">
        <is>
          <t>v0.1</t>
        </is>
      </c>
      <c r="T45" s="15" t="inlineStr">
        <is>
          <t>已确认</t>
        </is>
      </c>
      <c r="U45" s="17" t="n">
        <v>46246</v>
      </c>
      <c r="V45" s="18" t="inlineStr">
        <is>
          <t>https://www.figma.com/design/AH5UD6NGdbtqy2z4o9k7QW/%E8%BD%AF%E4%BB%B6%E5%B7%A5%E5%8E%82?node-id=524-7424</t>
        </is>
      </c>
      <c r="W45" s="18" t="inlineStr">
        <is>
          <t>http://127.0.0.1:5173/demo/#/projects/lighting/code/repositories/flight-control-core/merge-requests</t>
        </is>
      </c>
      <c r="X45" s="16" t="inlineStr">
        <is>
          <t>页面可稳定访问；主要交互可操作；刷新和页面跳转后数据语义一致。</t>
        </is>
      </c>
      <c r="Y45" s="16" t="inlineStr">
        <is>
          <t>需防止后续修改破坏跨页面数据一致性。</t>
        </is>
      </c>
      <c r="Z45" s="16" t="inlineStr">
        <is>
          <t>已完成并通过本地类型、构建与页面回归。</t>
        </is>
      </c>
      <c r="AA45" s="15" t="inlineStr">
        <is>
          <t>通过</t>
        </is>
      </c>
      <c r="AB45" s="17" t="n">
        <v>46246</v>
      </c>
      <c r="AC45" s="17" t="n">
        <v>46246</v>
      </c>
    </row>
    <row r="46" ht="52" customHeight="1">
      <c r="A46" s="15" t="inlineStr">
        <is>
          <t>DEMO-042</t>
        </is>
      </c>
      <c r="B46" s="16" t="inlineStr">
        <is>
          <t>代码仓库</t>
        </is>
      </c>
      <c r="C46" s="16" t="inlineStr">
        <is>
          <t>合并请求</t>
        </is>
      </c>
      <c r="D46" s="16" t="inlineStr">
        <is>
          <t>合并请求详情</t>
        </is>
      </c>
      <c r="E46" s="16" t="inlineStr">
        <is>
          <t>新功能</t>
        </is>
      </c>
      <c r="F46" s="15" t="inlineStr">
        <is>
          <t>是</t>
        </is>
      </c>
      <c r="G46" s="16" t="inlineStr">
        <is>
          <t>Demo 模拟</t>
        </is>
      </c>
      <c r="H46" s="16" t="inlineStr">
        <is>
          <t>围绕一个请求展示描述、提交、变更、评审和讨论。</t>
        </is>
      </c>
      <c r="I46" s="16" t="inlineStr">
        <is>
          <t>跨部门推广规划</t>
        </is>
      </c>
      <c r="J46" s="16" t="inlineStr">
        <is>
          <t>产品、研发</t>
        </is>
      </c>
      <c r="K46" s="15" t="inlineStr">
        <is>
          <t>P0</t>
        </is>
      </c>
      <c r="L46" s="15" t="inlineStr">
        <is>
          <t>已规划</t>
        </is>
      </c>
      <c r="M46" s="15" t="inlineStr">
        <is>
          <t>L0 占位可达</t>
        </is>
      </c>
      <c r="N46" s="15" t="inlineStr">
        <is>
          <t>L4 端到端叙事</t>
        </is>
      </c>
      <c r="O46" s="16" t="inlineStr">
        <is>
          <t>当前导航可达，使用通用占位页面。</t>
        </is>
      </c>
      <c r="P46" s="16" t="inlineStr">
        <is>
          <t>补齐关键场景、示例数据和核心交互。</t>
        </is>
      </c>
      <c r="Q46" s="16" t="inlineStr">
        <is>
          <t>待认领</t>
        </is>
      </c>
      <c r="R46" s="16" t="inlineStr">
        <is>
          <t>产品、设计、前端</t>
        </is>
      </c>
      <c r="S46" s="15" t="inlineStr">
        <is>
          <t>v0.2</t>
        </is>
      </c>
      <c r="T46" s="15" t="inlineStr">
        <is>
          <t>建议排期</t>
        </is>
      </c>
      <c r="U46" s="17" t="n">
        <v>46262</v>
      </c>
      <c r="V46" s="18" t="inlineStr">
        <is>
          <t>https://www.figma.com/design/AH5UD6NGdbtqy2z4o9k7QW/%E8%BD%AF%E4%BB%B6%E5%B7%A5%E5%8E%82?node-id=161-4885</t>
        </is>
      </c>
      <c r="W46" s="16" t="inlineStr"/>
      <c r="X46" s="16" t="inlineStr">
        <is>
          <t>列表标题可进入详情；详情包含概要、提交、文件变更、评审状态和讨论；关联对象可跳转。</t>
        </is>
      </c>
      <c r="Y46" s="16" t="inlineStr">
        <is>
          <t>需确认部门共识与设计稿；仅模拟核心流程，不建设真实后端。</t>
        </is>
      </c>
      <c r="Z46" s="16" t="inlineStr">
        <is>
          <t>待评审范围与负责人。</t>
        </is>
      </c>
      <c r="AA46" s="15" t="inlineStr">
        <is>
          <t>未开始</t>
        </is>
      </c>
      <c r="AB46" s="16" t="n"/>
      <c r="AC46" s="17" t="n">
        <v>46246</v>
      </c>
    </row>
    <row r="47" ht="52" customHeight="1">
      <c r="A47" s="15" t="inlineStr">
        <is>
          <t>DEMO-043</t>
        </is>
      </c>
      <c r="B47" s="16" t="inlineStr">
        <is>
          <t>代码仓库</t>
        </is>
      </c>
      <c r="C47" s="16" t="inlineStr">
        <is>
          <t>合并请求</t>
        </is>
      </c>
      <c r="D47" s="16" t="inlineStr">
        <is>
          <t>新建合并请求流程</t>
        </is>
      </c>
      <c r="E47" s="16" t="inlineStr">
        <is>
          <t>新功能</t>
        </is>
      </c>
      <c r="F47" s="15" t="inlineStr">
        <is>
          <t>否</t>
        </is>
      </c>
      <c r="G47" s="16" t="inlineStr">
        <is>
          <t>Demo 模拟</t>
        </is>
      </c>
      <c r="H47" s="16" t="inlineStr">
        <is>
          <t>模拟选择源分支、目标分支、评审人并创建请求。</t>
        </is>
      </c>
      <c r="I47" s="16" t="inlineStr">
        <is>
          <t>跨部门推广规划</t>
        </is>
      </c>
      <c r="J47" s="16" t="inlineStr">
        <is>
          <t>产品、研发</t>
        </is>
      </c>
      <c r="K47" s="15" t="inlineStr">
        <is>
          <t>P1</t>
        </is>
      </c>
      <c r="L47" s="15" t="inlineStr">
        <is>
          <t>已规划</t>
        </is>
      </c>
      <c r="M47" s="15" t="inlineStr">
        <is>
          <t>L0 占位可达</t>
        </is>
      </c>
      <c r="N47" s="15" t="inlineStr">
        <is>
          <t>L3 数据联动</t>
        </is>
      </c>
      <c r="O47" s="16" t="inlineStr">
        <is>
          <t>当前导航可达，使用通用占位页面。</t>
        </is>
      </c>
      <c r="P47" s="16" t="inlineStr">
        <is>
          <t>补齐关键场景、示例数据和核心交互。</t>
        </is>
      </c>
      <c r="Q47" s="16" t="inlineStr">
        <is>
          <t>待认领</t>
        </is>
      </c>
      <c r="R47" s="16" t="inlineStr">
        <is>
          <t>产品、设计、前端</t>
        </is>
      </c>
      <c r="S47" s="15" t="inlineStr">
        <is>
          <t>v0.3</t>
        </is>
      </c>
      <c r="T47" s="15" t="inlineStr">
        <is>
          <t>建议排期</t>
        </is>
      </c>
      <c r="U47" s="17" t="n">
        <v>46283</v>
      </c>
      <c r="V47" s="16" t="inlineStr"/>
      <c r="W47" s="16" t="inlineStr"/>
      <c r="X47" s="16" t="inlineStr">
        <is>
          <t>确认后本地新增请求，页头计数、分支列表关联请求和请求列表同步更新。</t>
        </is>
      </c>
      <c r="Y47" s="16" t="inlineStr">
        <is>
          <t>需确认部门共识与设计稿；仅模拟核心流程，不建设真实后端。</t>
        </is>
      </c>
      <c r="Z47" s="16" t="inlineStr">
        <is>
          <t>待评审范围与负责人。</t>
        </is>
      </c>
      <c r="AA47" s="15" t="inlineStr">
        <is>
          <t>未开始</t>
        </is>
      </c>
      <c r="AB47" s="16" t="n"/>
      <c r="AC47" s="17" t="n">
        <v>46246</v>
      </c>
    </row>
    <row r="48" ht="52" customHeight="1">
      <c r="A48" s="15" t="inlineStr">
        <is>
          <t>DEMO-044</t>
        </is>
      </c>
      <c r="B48" s="16" t="inlineStr">
        <is>
          <t>代码仓库</t>
        </is>
      </c>
      <c r="C48" s="16" t="inlineStr">
        <is>
          <t>评审记录</t>
        </is>
      </c>
      <c r="D48" s="16" t="inlineStr">
        <is>
          <t>代码评审记录</t>
        </is>
      </c>
      <c r="E48" s="16" t="inlineStr">
        <is>
          <t>新功能</t>
        </is>
      </c>
      <c r="F48" s="15" t="inlineStr">
        <is>
          <t>否</t>
        </is>
      </c>
      <c r="G48" s="16" t="inlineStr">
        <is>
          <t>Demo 模拟</t>
        </is>
      </c>
      <c r="H48" s="16" t="inlineStr">
        <is>
          <t>展示评审意见、处理状态和变更位置。</t>
        </is>
      </c>
      <c r="I48" s="16" t="inlineStr">
        <is>
          <t>跨部门推广规划</t>
        </is>
      </c>
      <c r="J48" s="16" t="inlineStr">
        <is>
          <t>产品、研发</t>
        </is>
      </c>
      <c r="K48" s="15" t="inlineStr">
        <is>
          <t>P1</t>
        </is>
      </c>
      <c r="L48" s="15" t="inlineStr">
        <is>
          <t>已规划</t>
        </is>
      </c>
      <c r="M48" s="15" t="inlineStr">
        <is>
          <t>L0 占位可达</t>
        </is>
      </c>
      <c r="N48" s="15" t="inlineStr">
        <is>
          <t>L3 数据联动</t>
        </is>
      </c>
      <c r="O48" s="16" t="inlineStr">
        <is>
          <t>当前导航可达，使用通用占位页面。</t>
        </is>
      </c>
      <c r="P48" s="16" t="inlineStr">
        <is>
          <t>补齐关键场景、示例数据和核心交互。</t>
        </is>
      </c>
      <c r="Q48" s="16" t="inlineStr">
        <is>
          <t>待认领</t>
        </is>
      </c>
      <c r="R48" s="16" t="inlineStr">
        <is>
          <t>产品、设计、前端</t>
        </is>
      </c>
      <c r="S48" s="15" t="inlineStr">
        <is>
          <t>v0.3</t>
        </is>
      </c>
      <c r="T48" s="15" t="inlineStr">
        <is>
          <t>建议排期</t>
        </is>
      </c>
      <c r="U48" s="17" t="n">
        <v>46283</v>
      </c>
      <c r="V48" s="16" t="inlineStr"/>
      <c r="W48" s="16" t="inlineStr"/>
      <c r="X48" s="16" t="inlineStr">
        <is>
          <t>可从导航进入；核心信息完整；关键交互可操作；数据在相关页面间保持一致。</t>
        </is>
      </c>
      <c r="Y48" s="16" t="inlineStr">
        <is>
          <t>需确认部门共识与设计稿；仅模拟核心流程，不建设真实后端。</t>
        </is>
      </c>
      <c r="Z48" s="16" t="inlineStr">
        <is>
          <t>待评审范围与负责人。</t>
        </is>
      </c>
      <c r="AA48" s="15" t="inlineStr">
        <is>
          <t>未开始</t>
        </is>
      </c>
      <c r="AB48" s="16" t="n"/>
      <c r="AC48" s="17" t="n">
        <v>46246</v>
      </c>
    </row>
    <row r="49" ht="52" customHeight="1">
      <c r="A49" s="15" t="inlineStr">
        <is>
          <t>DEMO-045</t>
        </is>
      </c>
      <c r="B49" s="16" t="inlineStr">
        <is>
          <t>代码仓库</t>
        </is>
      </c>
      <c r="C49" s="16" t="inlineStr">
        <is>
          <t>关联工作项</t>
        </is>
      </c>
      <c r="D49" s="16" t="inlineStr">
        <is>
          <t>代码与工作项关联</t>
        </is>
      </c>
      <c r="E49" s="16" t="inlineStr">
        <is>
          <t>新功能</t>
        </is>
      </c>
      <c r="F49" s="15" t="inlineStr">
        <is>
          <t>是</t>
        </is>
      </c>
      <c r="G49" s="16" t="inlineStr">
        <is>
          <t>Demo 模拟</t>
        </is>
      </c>
      <c r="H49" s="16" t="inlineStr">
        <is>
          <t>从仓库或合并请求追溯到需求、任务与缺陷。</t>
        </is>
      </c>
      <c r="I49" s="16" t="inlineStr">
        <is>
          <t>跨部门推广规划</t>
        </is>
      </c>
      <c r="J49" s="16" t="inlineStr">
        <is>
          <t>产品、研发、测试</t>
        </is>
      </c>
      <c r="K49" s="15" t="inlineStr">
        <is>
          <t>P0</t>
        </is>
      </c>
      <c r="L49" s="15" t="inlineStr">
        <is>
          <t>已规划</t>
        </is>
      </c>
      <c r="M49" s="15" t="inlineStr">
        <is>
          <t>L0 占位可达</t>
        </is>
      </c>
      <c r="N49" s="15" t="inlineStr">
        <is>
          <t>L4 端到端叙事</t>
        </is>
      </c>
      <c r="O49" s="16" t="inlineStr">
        <is>
          <t>当前导航可达，使用通用占位页面。</t>
        </is>
      </c>
      <c r="P49" s="16" t="inlineStr">
        <is>
          <t>补齐关键场景、示例数据和核心交互。</t>
        </is>
      </c>
      <c r="Q49" s="16" t="inlineStr">
        <is>
          <t>待认领</t>
        </is>
      </c>
      <c r="R49" s="16" t="inlineStr">
        <is>
          <t>产品、设计、前端</t>
        </is>
      </c>
      <c r="S49" s="15" t="inlineStr">
        <is>
          <t>v1.0</t>
        </is>
      </c>
      <c r="T49" s="15" t="inlineStr">
        <is>
          <t>建议排期</t>
        </is>
      </c>
      <c r="U49" s="17" t="n">
        <v>46325</v>
      </c>
      <c r="V49" s="16" t="inlineStr"/>
      <c r="W49" s="16" t="inlineStr"/>
      <c r="X49" s="16" t="inlineStr">
        <is>
          <t>可从导航进入；核心信息完整；关键交互可操作；数据在相关页面间保持一致。</t>
        </is>
      </c>
      <c r="Y49" s="16" t="inlineStr">
        <is>
          <t>需确认部门共识与设计稿；仅模拟核心流程，不建设真实后端。</t>
        </is>
      </c>
      <c r="Z49" s="16" t="inlineStr">
        <is>
          <t>待评审范围与负责人。</t>
        </is>
      </c>
      <c r="AA49" s="15" t="inlineStr">
        <is>
          <t>未开始</t>
        </is>
      </c>
      <c r="AB49" s="16" t="n"/>
      <c r="AC49" s="17" t="n">
        <v>46246</v>
      </c>
    </row>
    <row r="50" ht="52" customHeight="1">
      <c r="A50" s="15" t="inlineStr">
        <is>
          <t>DEMO-046</t>
        </is>
      </c>
      <c r="B50" s="16" t="inlineStr">
        <is>
          <t>代码仓库</t>
        </is>
      </c>
      <c r="C50" s="16" t="inlineStr">
        <is>
          <t>入库记录</t>
        </is>
      </c>
      <c r="D50" s="16" t="inlineStr">
        <is>
          <t>代码入库记录</t>
        </is>
      </c>
      <c r="E50" s="16" t="inlineStr">
        <is>
          <t>新功能</t>
        </is>
      </c>
      <c r="F50" s="15" t="inlineStr">
        <is>
          <t>否</t>
        </is>
      </c>
      <c r="G50" s="16" t="inlineStr">
        <is>
          <t>Demo 模拟</t>
        </is>
      </c>
      <c r="H50" s="16" t="inlineStr">
        <is>
          <t>展示版本基线、审批状态和入库结果。</t>
        </is>
      </c>
      <c r="I50" s="16" t="inlineStr">
        <is>
          <t>跨部门推广规划</t>
        </is>
      </c>
      <c r="J50" s="16" t="inlineStr">
        <is>
          <t>研发、质量、配置管理</t>
        </is>
      </c>
      <c r="K50" s="15" t="inlineStr">
        <is>
          <t>P2</t>
        </is>
      </c>
      <c r="L50" s="15" t="inlineStr">
        <is>
          <t>已规划</t>
        </is>
      </c>
      <c r="M50" s="15" t="inlineStr">
        <is>
          <t>L0 占位可达</t>
        </is>
      </c>
      <c r="N50" s="15" t="inlineStr">
        <is>
          <t>L3 数据联动</t>
        </is>
      </c>
      <c r="O50" s="16" t="inlineStr">
        <is>
          <t>当前导航可达，使用通用占位页面。</t>
        </is>
      </c>
      <c r="P50" s="16" t="inlineStr">
        <is>
          <t>补齐关键场景、示例数据和核心交互。</t>
        </is>
      </c>
      <c r="Q50" s="16" t="inlineStr">
        <is>
          <t>待认领</t>
        </is>
      </c>
      <c r="R50" s="16" t="inlineStr">
        <is>
          <t>产品、设计、前端</t>
        </is>
      </c>
      <c r="S50" s="15" t="inlineStr">
        <is>
          <t>v0.4</t>
        </is>
      </c>
      <c r="T50" s="15" t="inlineStr">
        <is>
          <t>建议排期</t>
        </is>
      </c>
      <c r="U50" s="17" t="n">
        <v>46311</v>
      </c>
      <c r="V50" s="16" t="inlineStr"/>
      <c r="W50" s="16" t="inlineStr"/>
      <c r="X50" s="16" t="inlineStr">
        <is>
          <t>可从导航进入；核心信息完整；关键交互可操作；数据在相关页面间保持一致。</t>
        </is>
      </c>
      <c r="Y50" s="16" t="inlineStr">
        <is>
          <t>需确认部门共识与设计稿；仅模拟核心流程，不建设真实后端。</t>
        </is>
      </c>
      <c r="Z50" s="16" t="inlineStr">
        <is>
          <t>待评审范围与负责人。</t>
        </is>
      </c>
      <c r="AA50" s="15" t="inlineStr">
        <is>
          <t>未开始</t>
        </is>
      </c>
      <c r="AB50" s="16" t="n"/>
      <c r="AC50" s="17" t="n">
        <v>46246</v>
      </c>
    </row>
    <row r="51" ht="52" customHeight="1">
      <c r="A51" s="15" t="inlineStr">
        <is>
          <t>DEMO-047</t>
        </is>
      </c>
      <c r="B51" s="16" t="inlineStr">
        <is>
          <t>代码仓库</t>
        </is>
      </c>
      <c r="C51" s="16" t="inlineStr">
        <is>
          <t>统计</t>
        </is>
      </c>
      <c r="D51" s="16" t="inlineStr">
        <is>
          <t>仓库活跃度与贡献统计</t>
        </is>
      </c>
      <c r="E51" s="16" t="inlineStr">
        <is>
          <t>新功能</t>
        </is>
      </c>
      <c r="F51" s="15" t="inlineStr">
        <is>
          <t>否</t>
        </is>
      </c>
      <c r="G51" s="16" t="inlineStr">
        <is>
          <t>Demo 模拟</t>
        </is>
      </c>
      <c r="H51" s="16" t="inlineStr">
        <is>
          <t>展示提交趋势、贡献者、分支和合并请求统计。</t>
        </is>
      </c>
      <c r="I51" s="16" t="inlineStr">
        <is>
          <t>跨部门推广规划</t>
        </is>
      </c>
      <c r="J51" s="16" t="inlineStr">
        <is>
          <t>研发、研发管理</t>
        </is>
      </c>
      <c r="K51" s="15" t="inlineStr">
        <is>
          <t>P2</t>
        </is>
      </c>
      <c r="L51" s="15" t="inlineStr">
        <is>
          <t>已规划</t>
        </is>
      </c>
      <c r="M51" s="15" t="inlineStr">
        <is>
          <t>L0 占位可达</t>
        </is>
      </c>
      <c r="N51" s="15" t="inlineStr">
        <is>
          <t>L3 数据联动</t>
        </is>
      </c>
      <c r="O51" s="16" t="inlineStr">
        <is>
          <t>当前导航可达，使用通用占位页面。</t>
        </is>
      </c>
      <c r="P51" s="16" t="inlineStr">
        <is>
          <t>补齐关键场景、示例数据和核心交互。</t>
        </is>
      </c>
      <c r="Q51" s="16" t="inlineStr">
        <is>
          <t>待认领</t>
        </is>
      </c>
      <c r="R51" s="16" t="inlineStr">
        <is>
          <t>产品、设计、前端</t>
        </is>
      </c>
      <c r="S51" s="15" t="inlineStr">
        <is>
          <t>v0.4</t>
        </is>
      </c>
      <c r="T51" s="15" t="inlineStr">
        <is>
          <t>建议排期</t>
        </is>
      </c>
      <c r="U51" s="17" t="n">
        <v>46311</v>
      </c>
      <c r="V51" s="16" t="inlineStr"/>
      <c r="W51" s="16" t="inlineStr"/>
      <c r="X51" s="16" t="inlineStr">
        <is>
          <t>可从导航进入；核心信息完整；关键交互可操作；数据在相关页面间保持一致。</t>
        </is>
      </c>
      <c r="Y51" s="16" t="inlineStr">
        <is>
          <t>需确认部门共识与设计稿；仅模拟核心流程，不建设真实后端。</t>
        </is>
      </c>
      <c r="Z51" s="16" t="inlineStr">
        <is>
          <t>待评审范围与负责人。</t>
        </is>
      </c>
      <c r="AA51" s="15" t="inlineStr">
        <is>
          <t>未开始</t>
        </is>
      </c>
      <c r="AB51" s="16" t="n"/>
      <c r="AC51" s="17" t="n">
        <v>46246</v>
      </c>
    </row>
    <row r="52" ht="52" customHeight="1">
      <c r="A52" s="15" t="inlineStr">
        <is>
          <t>DEMO-048</t>
        </is>
      </c>
      <c r="B52" s="16" t="inlineStr">
        <is>
          <t>代码仓库</t>
        </is>
      </c>
      <c r="C52" s="16" t="inlineStr">
        <is>
          <t>设置</t>
        </is>
      </c>
      <c r="D52" s="16" t="inlineStr">
        <is>
          <t>Webhook 设置与触发记录</t>
        </is>
      </c>
      <c r="E52" s="16" t="inlineStr">
        <is>
          <t>现有能力</t>
        </is>
      </c>
      <c r="F52" s="15" t="inlineStr">
        <is>
          <t>否</t>
        </is>
      </c>
      <c r="G52" s="16" t="inlineStr">
        <is>
          <t>UI 交互 + 数据联动</t>
        </is>
      </c>
      <c r="H52" s="16" t="inlineStr">
        <is>
          <t>演示服务集成配置和触发历史。</t>
        </is>
      </c>
      <c r="I52" s="16" t="inlineStr">
        <is>
          <t>现有 Demo 实现</t>
        </is>
      </c>
      <c r="J52" s="16" t="inlineStr">
        <is>
          <t>产品、研发、设计</t>
        </is>
      </c>
      <c r="K52" s="15" t="inlineStr">
        <is>
          <t>P1</t>
        </is>
      </c>
      <c r="L52" s="15" t="inlineStr">
        <is>
          <t>已完成</t>
        </is>
      </c>
      <c r="M52" s="15" t="inlineStr">
        <is>
          <t>L3 数据联动</t>
        </is>
      </c>
      <c r="N52" s="15" t="inlineStr">
        <is>
          <t>L3 数据联动</t>
        </is>
      </c>
      <c r="O52" s="16" t="inlineStr">
        <is>
          <t>已完成页面、关键交互和示例数据联动。</t>
        </is>
      </c>
      <c r="P52" s="16" t="inlineStr">
        <is>
          <t>纳入回归清单，持续根据部门反馈微调。</t>
        </is>
      </c>
      <c r="Q52" s="16" t="inlineStr">
        <is>
          <t>Demo 小组</t>
        </is>
      </c>
      <c r="R52" s="16" t="inlineStr">
        <is>
          <t>产品、设计、前端</t>
        </is>
      </c>
      <c r="S52" s="15" t="inlineStr">
        <is>
          <t>v0.1</t>
        </is>
      </c>
      <c r="T52" s="15" t="inlineStr">
        <is>
          <t>已确认</t>
        </is>
      </c>
      <c r="U52" s="17" t="n">
        <v>46246</v>
      </c>
      <c r="V52" s="16" t="inlineStr"/>
      <c r="W52" s="18" t="inlineStr">
        <is>
          <t>http://127.0.0.1:5173/demo/#/projects/lighting/code/repositories/flight-control-core?tab=settings</t>
        </is>
      </c>
      <c r="X52" s="16" t="inlineStr">
        <is>
          <t>页面可稳定访问；主要交互可操作；刷新和页面跳转后数据语义一致。</t>
        </is>
      </c>
      <c r="Y52" s="16" t="inlineStr">
        <is>
          <t>需防止后续修改破坏跨页面数据一致性。</t>
        </is>
      </c>
      <c r="Z52" s="16" t="inlineStr">
        <is>
          <t>已完成并通过本地类型、构建与页面回归。</t>
        </is>
      </c>
      <c r="AA52" s="15" t="inlineStr">
        <is>
          <t>通过</t>
        </is>
      </c>
      <c r="AB52" s="17" t="n">
        <v>46246</v>
      </c>
      <c r="AC52" s="17" t="n">
        <v>46246</v>
      </c>
    </row>
    <row r="53" ht="52" customHeight="1">
      <c r="A53" s="15" t="inlineStr">
        <is>
          <t>DEMO-049</t>
        </is>
      </c>
      <c r="B53" s="16" t="inlineStr">
        <is>
          <t>代码仓库</t>
        </is>
      </c>
      <c r="C53" s="16" t="inlineStr">
        <is>
          <t>设置</t>
        </is>
      </c>
      <c r="D53" s="16" t="inlineStr">
        <is>
          <t>仓库基本设置与通知设置</t>
        </is>
      </c>
      <c r="E53" s="16" t="inlineStr">
        <is>
          <t>新功能</t>
        </is>
      </c>
      <c r="F53" s="15" t="inlineStr">
        <is>
          <t>否</t>
        </is>
      </c>
      <c r="G53" s="16" t="inlineStr">
        <is>
          <t>Demo 模拟</t>
        </is>
      </c>
      <c r="H53" s="16" t="inlineStr">
        <is>
          <t>展示仓库属性、默认分支、通知和访问策略。</t>
        </is>
      </c>
      <c r="I53" s="16" t="inlineStr">
        <is>
          <t>跨部门推广规划</t>
        </is>
      </c>
      <c r="J53" s="16" t="inlineStr">
        <is>
          <t>产品、研发</t>
        </is>
      </c>
      <c r="K53" s="15" t="inlineStr">
        <is>
          <t>P3</t>
        </is>
      </c>
      <c r="L53" s="15" t="inlineStr">
        <is>
          <t>已规划</t>
        </is>
      </c>
      <c r="M53" s="15" t="inlineStr">
        <is>
          <t>L0 占位可达</t>
        </is>
      </c>
      <c r="N53" s="15" t="inlineStr">
        <is>
          <t>L3 数据联动</t>
        </is>
      </c>
      <c r="O53" s="16" t="inlineStr">
        <is>
          <t>当前导航可达，使用通用占位页面。</t>
        </is>
      </c>
      <c r="P53" s="16" t="inlineStr">
        <is>
          <t>补齐关键场景、示例数据和核心交互。</t>
        </is>
      </c>
      <c r="Q53" s="16" t="inlineStr">
        <is>
          <t>待认领</t>
        </is>
      </c>
      <c r="R53" s="16" t="inlineStr">
        <is>
          <t>产品、设计、前端</t>
        </is>
      </c>
      <c r="S53" s="15" t="inlineStr">
        <is>
          <t>v1.0</t>
        </is>
      </c>
      <c r="T53" s="15" t="inlineStr">
        <is>
          <t>建议排期</t>
        </is>
      </c>
      <c r="U53" s="17" t="n">
        <v>46325</v>
      </c>
      <c r="V53" s="16" t="inlineStr"/>
      <c r="W53" s="18" t="inlineStr">
        <is>
          <t>http://127.0.0.1:5173/demo/#/projects/lighting/code/repositories/flight-control-core?tab=settings</t>
        </is>
      </c>
      <c r="X53" s="16" t="inlineStr">
        <is>
          <t>可从导航进入；核心信息完整；关键交互可操作；数据在相关页面间保持一致。</t>
        </is>
      </c>
      <c r="Y53" s="16" t="inlineStr">
        <is>
          <t>需确认部门共识与设计稿；仅模拟核心流程，不建设真实后端。</t>
        </is>
      </c>
      <c r="Z53" s="16" t="inlineStr">
        <is>
          <t>待评审范围与负责人。</t>
        </is>
      </c>
      <c r="AA53" s="15" t="inlineStr">
        <is>
          <t>未开始</t>
        </is>
      </c>
      <c r="AB53" s="16" t="n"/>
      <c r="AC53" s="17" t="n">
        <v>46246</v>
      </c>
    </row>
    <row r="54" ht="52" customHeight="1">
      <c r="A54" s="15" t="inlineStr">
        <is>
          <t>DEMO-050</t>
        </is>
      </c>
      <c r="B54" s="16" t="inlineStr">
        <is>
          <t>代码质量</t>
        </is>
      </c>
      <c r="C54" s="16" t="inlineStr">
        <is>
          <t>质量总览</t>
        </is>
      </c>
      <c r="D54" s="16" t="inlineStr">
        <is>
          <t>代码质量仪表盘</t>
        </is>
      </c>
      <c r="E54" s="16" t="inlineStr">
        <is>
          <t>新功能</t>
        </is>
      </c>
      <c r="F54" s="15" t="inlineStr">
        <is>
          <t>是</t>
        </is>
      </c>
      <c r="G54" s="16" t="inlineStr">
        <is>
          <t>Demo 模拟</t>
        </is>
      </c>
      <c r="H54" s="16" t="inlineStr">
        <is>
          <t>聚合质量门禁、问题、覆盖率和趋势，建立研发质量共识。</t>
        </is>
      </c>
      <c r="I54" s="16" t="inlineStr">
        <is>
          <t>跨部门推广规划</t>
        </is>
      </c>
      <c r="J54" s="16" t="inlineStr">
        <is>
          <t>研发、测试、质量</t>
        </is>
      </c>
      <c r="K54" s="15" t="inlineStr">
        <is>
          <t>P1</t>
        </is>
      </c>
      <c r="L54" s="15" t="inlineStr">
        <is>
          <t>已规划</t>
        </is>
      </c>
      <c r="M54" s="15" t="inlineStr">
        <is>
          <t>L0 占位可达</t>
        </is>
      </c>
      <c r="N54" s="15" t="inlineStr">
        <is>
          <t>L3 数据联动</t>
        </is>
      </c>
      <c r="O54" s="16" t="inlineStr">
        <is>
          <t>当前导航可达，使用通用占位页面。</t>
        </is>
      </c>
      <c r="P54" s="16" t="inlineStr">
        <is>
          <t>补齐关键场景、示例数据和核心交互。</t>
        </is>
      </c>
      <c r="Q54" s="16" t="inlineStr">
        <is>
          <t>待认领</t>
        </is>
      </c>
      <c r="R54" s="16" t="inlineStr">
        <is>
          <t>产品、设计、前端</t>
        </is>
      </c>
      <c r="S54" s="15" t="inlineStr">
        <is>
          <t>v0.3</t>
        </is>
      </c>
      <c r="T54" s="15" t="inlineStr">
        <is>
          <t>建议排期</t>
        </is>
      </c>
      <c r="U54" s="17" t="n">
        <v>46283</v>
      </c>
      <c r="V54" s="16" t="inlineStr"/>
      <c r="W54" s="18" t="inlineStr">
        <is>
          <t>http://127.0.0.1:5173/demo/#/projects/lighting/code/quality</t>
        </is>
      </c>
      <c r="X54" s="16" t="inlineStr">
        <is>
          <t>可从导航进入；核心信息完整；关键交互可操作；数据在相关页面间保持一致。</t>
        </is>
      </c>
      <c r="Y54" s="16" t="inlineStr">
        <is>
          <t>需确认部门共识与设计稿；仅模拟核心流程，不建设真实后端。</t>
        </is>
      </c>
      <c r="Z54" s="16" t="inlineStr">
        <is>
          <t>待评审范围与负责人。</t>
        </is>
      </c>
      <c r="AA54" s="15" t="inlineStr">
        <is>
          <t>未开始</t>
        </is>
      </c>
      <c r="AB54" s="16" t="n"/>
      <c r="AC54" s="17" t="n">
        <v>46246</v>
      </c>
    </row>
    <row r="55" ht="52" customHeight="1">
      <c r="A55" s="15" t="inlineStr">
        <is>
          <t>DEMO-051</t>
        </is>
      </c>
      <c r="B55" s="16" t="inlineStr">
        <is>
          <t>代码质量</t>
        </is>
      </c>
      <c r="C55" s="16" t="inlineStr">
        <is>
          <t>问题管理</t>
        </is>
      </c>
      <c r="D55" s="16" t="inlineStr">
        <is>
          <t>静态检查问题列表与详情</t>
        </is>
      </c>
      <c r="E55" s="16" t="inlineStr">
        <is>
          <t>新功能</t>
        </is>
      </c>
      <c r="F55" s="15" t="inlineStr">
        <is>
          <t>否</t>
        </is>
      </c>
      <c r="G55" s="16" t="inlineStr">
        <is>
          <t>Demo 模拟</t>
        </is>
      </c>
      <c r="H55" s="16" t="inlineStr">
        <is>
          <t>按严重级别、规则、文件和负责人查看问题。</t>
        </is>
      </c>
      <c r="I55" s="16" t="inlineStr">
        <is>
          <t>跨部门推广规划</t>
        </is>
      </c>
      <c r="J55" s="16" t="inlineStr">
        <is>
          <t>研发、质量</t>
        </is>
      </c>
      <c r="K55" s="15" t="inlineStr">
        <is>
          <t>P1</t>
        </is>
      </c>
      <c r="L55" s="15" t="inlineStr">
        <is>
          <t>已规划</t>
        </is>
      </c>
      <c r="M55" s="15" t="inlineStr">
        <is>
          <t>L0 占位可达</t>
        </is>
      </c>
      <c r="N55" s="15" t="inlineStr">
        <is>
          <t>L3 数据联动</t>
        </is>
      </c>
      <c r="O55" s="16" t="inlineStr">
        <is>
          <t>当前导航可达，使用通用占位页面。</t>
        </is>
      </c>
      <c r="P55" s="16" t="inlineStr">
        <is>
          <t>补齐关键场景、示例数据和核心交互。</t>
        </is>
      </c>
      <c r="Q55" s="16" t="inlineStr">
        <is>
          <t>待认领</t>
        </is>
      </c>
      <c r="R55" s="16" t="inlineStr">
        <is>
          <t>产品、设计、前端</t>
        </is>
      </c>
      <c r="S55" s="15" t="inlineStr">
        <is>
          <t>v0.3</t>
        </is>
      </c>
      <c r="T55" s="15" t="inlineStr">
        <is>
          <t>建议排期</t>
        </is>
      </c>
      <c r="U55" s="17" t="n">
        <v>46283</v>
      </c>
      <c r="V55" s="16" t="inlineStr"/>
      <c r="W55" s="16" t="inlineStr"/>
      <c r="X55" s="16" t="inlineStr">
        <is>
          <t>可从导航进入；核心信息完整；关键交互可操作；数据在相关页面间保持一致。</t>
        </is>
      </c>
      <c r="Y55" s="16" t="inlineStr">
        <is>
          <t>需确认部门共识与设计稿；仅模拟核心流程，不建设真实后端。</t>
        </is>
      </c>
      <c r="Z55" s="16" t="inlineStr">
        <is>
          <t>待评审范围与负责人。</t>
        </is>
      </c>
      <c r="AA55" s="15" t="inlineStr">
        <is>
          <t>未开始</t>
        </is>
      </c>
      <c r="AB55" s="16" t="n"/>
      <c r="AC55" s="17" t="n">
        <v>46246</v>
      </c>
    </row>
    <row r="56" ht="52" customHeight="1">
      <c r="A56" s="15" t="inlineStr">
        <is>
          <t>DEMO-052</t>
        </is>
      </c>
      <c r="B56" s="16" t="inlineStr">
        <is>
          <t>代码质量</t>
        </is>
      </c>
      <c r="C56" s="16" t="inlineStr">
        <is>
          <t>质量门禁</t>
        </is>
      </c>
      <c r="D56" s="16" t="inlineStr">
        <is>
          <t>质量门禁结果</t>
        </is>
      </c>
      <c r="E56" s="16" t="inlineStr">
        <is>
          <t>新功能</t>
        </is>
      </c>
      <c r="F56" s="15" t="inlineStr">
        <is>
          <t>否</t>
        </is>
      </c>
      <c r="G56" s="16" t="inlineStr">
        <is>
          <t>Demo 模拟</t>
        </is>
      </c>
      <c r="H56" s="16" t="inlineStr">
        <is>
          <t>解释一次提交或合并请求为何通过／未通过。</t>
        </is>
      </c>
      <c r="I56" s="16" t="inlineStr">
        <is>
          <t>跨部门推广规划</t>
        </is>
      </c>
      <c r="J56" s="16" t="inlineStr">
        <is>
          <t>研发、质量</t>
        </is>
      </c>
      <c r="K56" s="15" t="inlineStr">
        <is>
          <t>P1</t>
        </is>
      </c>
      <c r="L56" s="15" t="inlineStr">
        <is>
          <t>已规划</t>
        </is>
      </c>
      <c r="M56" s="15" t="inlineStr">
        <is>
          <t>L0 占位可达</t>
        </is>
      </c>
      <c r="N56" s="15" t="inlineStr">
        <is>
          <t>L3 数据联动</t>
        </is>
      </c>
      <c r="O56" s="16" t="inlineStr">
        <is>
          <t>当前导航可达，使用通用占位页面。</t>
        </is>
      </c>
      <c r="P56" s="16" t="inlineStr">
        <is>
          <t>补齐关键场景、示例数据和核心交互。</t>
        </is>
      </c>
      <c r="Q56" s="16" t="inlineStr">
        <is>
          <t>待认领</t>
        </is>
      </c>
      <c r="R56" s="16" t="inlineStr">
        <is>
          <t>产品、设计、前端</t>
        </is>
      </c>
      <c r="S56" s="15" t="inlineStr">
        <is>
          <t>v0.3</t>
        </is>
      </c>
      <c r="T56" s="15" t="inlineStr">
        <is>
          <t>建议排期</t>
        </is>
      </c>
      <c r="U56" s="17" t="n">
        <v>46283</v>
      </c>
      <c r="V56" s="16" t="inlineStr"/>
      <c r="W56" s="16" t="inlineStr"/>
      <c r="X56" s="16" t="inlineStr">
        <is>
          <t>可从导航进入；核心信息完整；关键交互可操作；数据在相关页面间保持一致。</t>
        </is>
      </c>
      <c r="Y56" s="16" t="inlineStr">
        <is>
          <t>需确认部门共识与设计稿；仅模拟核心流程，不建设真实后端。</t>
        </is>
      </c>
      <c r="Z56" s="16" t="inlineStr">
        <is>
          <t>待评审范围与负责人。</t>
        </is>
      </c>
      <c r="AA56" s="15" t="inlineStr">
        <is>
          <t>未开始</t>
        </is>
      </c>
      <c r="AB56" s="16" t="n"/>
      <c r="AC56" s="17" t="n">
        <v>46246</v>
      </c>
    </row>
    <row r="57" ht="52" customHeight="1">
      <c r="A57" s="15" t="inlineStr">
        <is>
          <t>DEMO-053</t>
        </is>
      </c>
      <c r="B57" s="16" t="inlineStr">
        <is>
          <t>代码质量</t>
        </is>
      </c>
      <c r="C57" s="16" t="inlineStr">
        <is>
          <t>覆盖率</t>
        </is>
      </c>
      <c r="D57" s="16" t="inlineStr">
        <is>
          <t>覆盖率与质量趋势</t>
        </is>
      </c>
      <c r="E57" s="16" t="inlineStr">
        <is>
          <t>新功能</t>
        </is>
      </c>
      <c r="F57" s="15" t="inlineStr">
        <is>
          <t>否</t>
        </is>
      </c>
      <c r="G57" s="16" t="inlineStr">
        <is>
          <t>Demo 模拟</t>
        </is>
      </c>
      <c r="H57" s="16" t="inlineStr">
        <is>
          <t>按分支和时间展示覆盖率、缺陷密度和技术债变化。</t>
        </is>
      </c>
      <c r="I57" s="16" t="inlineStr">
        <is>
          <t>跨部门推广规划</t>
        </is>
      </c>
      <c r="J57" s="16" t="inlineStr">
        <is>
          <t>研发、测试、质量</t>
        </is>
      </c>
      <c r="K57" s="15" t="inlineStr">
        <is>
          <t>P2</t>
        </is>
      </c>
      <c r="L57" s="15" t="inlineStr">
        <is>
          <t>已规划</t>
        </is>
      </c>
      <c r="M57" s="15" t="inlineStr">
        <is>
          <t>L0 占位可达</t>
        </is>
      </c>
      <c r="N57" s="15" t="inlineStr">
        <is>
          <t>L3 数据联动</t>
        </is>
      </c>
      <c r="O57" s="16" t="inlineStr">
        <is>
          <t>当前导航可达，使用通用占位页面。</t>
        </is>
      </c>
      <c r="P57" s="16" t="inlineStr">
        <is>
          <t>补齐关键场景、示例数据和核心交互。</t>
        </is>
      </c>
      <c r="Q57" s="16" t="inlineStr">
        <is>
          <t>待认领</t>
        </is>
      </c>
      <c r="R57" s="16" t="inlineStr">
        <is>
          <t>产品、设计、前端</t>
        </is>
      </c>
      <c r="S57" s="15" t="inlineStr">
        <is>
          <t>v0.4</t>
        </is>
      </c>
      <c r="T57" s="15" t="inlineStr">
        <is>
          <t>建议排期</t>
        </is>
      </c>
      <c r="U57" s="17" t="n">
        <v>46311</v>
      </c>
      <c r="V57" s="16" t="inlineStr"/>
      <c r="W57" s="16" t="inlineStr"/>
      <c r="X57" s="16" t="inlineStr">
        <is>
          <t>可从导航进入；核心信息完整；关键交互可操作；数据在相关页面间保持一致。</t>
        </is>
      </c>
      <c r="Y57" s="16" t="inlineStr">
        <is>
          <t>需确认部门共识与设计稿；仅模拟核心流程，不建设真实后端。</t>
        </is>
      </c>
      <c r="Z57" s="16" t="inlineStr">
        <is>
          <t>待评审范围与负责人。</t>
        </is>
      </c>
      <c r="AA57" s="15" t="inlineStr">
        <is>
          <t>未开始</t>
        </is>
      </c>
      <c r="AB57" s="16" t="n"/>
      <c r="AC57" s="17" t="n">
        <v>46246</v>
      </c>
    </row>
    <row r="58" ht="52" customHeight="1">
      <c r="A58" s="15" t="inlineStr">
        <is>
          <t>DEMO-054</t>
        </is>
      </c>
      <c r="B58" s="16" t="inlineStr">
        <is>
          <t>流水线</t>
        </is>
      </c>
      <c r="C58" s="16" t="inlineStr">
        <is>
          <t>流水线列表</t>
        </is>
      </c>
      <c r="D58" s="16" t="inlineStr">
        <is>
          <t>流水线列表与筛选</t>
        </is>
      </c>
      <c r="E58" s="16" t="inlineStr">
        <is>
          <t>新功能</t>
        </is>
      </c>
      <c r="F58" s="15" t="inlineStr">
        <is>
          <t>是</t>
        </is>
      </c>
      <c r="G58" s="16" t="inlineStr">
        <is>
          <t>Demo 模拟</t>
        </is>
      </c>
      <c r="H58" s="16" t="inlineStr">
        <is>
          <t>查看流水线状态、触发方式、分支和最近运行。</t>
        </is>
      </c>
      <c r="I58" s="16" t="inlineStr">
        <is>
          <t>跨部门推广规划</t>
        </is>
      </c>
      <c r="J58" s="16" t="inlineStr">
        <is>
          <t>研发、测试、运维</t>
        </is>
      </c>
      <c r="K58" s="15" t="inlineStr">
        <is>
          <t>P0</t>
        </is>
      </c>
      <c r="L58" s="15" t="inlineStr">
        <is>
          <t>已规划</t>
        </is>
      </c>
      <c r="M58" s="15" t="inlineStr">
        <is>
          <t>L0 占位可达</t>
        </is>
      </c>
      <c r="N58" s="15" t="inlineStr">
        <is>
          <t>L3 数据联动</t>
        </is>
      </c>
      <c r="O58" s="16" t="inlineStr">
        <is>
          <t>当前导航可达，使用通用占位页面。</t>
        </is>
      </c>
      <c r="P58" s="16" t="inlineStr">
        <is>
          <t>补齐关键场景、示例数据和核心交互。</t>
        </is>
      </c>
      <c r="Q58" s="16" t="inlineStr">
        <is>
          <t>待认领</t>
        </is>
      </c>
      <c r="R58" s="16" t="inlineStr">
        <is>
          <t>产品、设计、前端</t>
        </is>
      </c>
      <c r="S58" s="15" t="inlineStr">
        <is>
          <t>v0.3</t>
        </is>
      </c>
      <c r="T58" s="15" t="inlineStr">
        <is>
          <t>建议排期</t>
        </is>
      </c>
      <c r="U58" s="17" t="n">
        <v>46283</v>
      </c>
      <c r="V58" s="16" t="inlineStr"/>
      <c r="W58" s="18" t="inlineStr">
        <is>
          <t>http://127.0.0.1:5173/demo/#/projects/lighting/pipelines</t>
        </is>
      </c>
      <c r="X58" s="16" t="inlineStr">
        <is>
          <t>可从导航进入；核心信息完整；关键交互可操作；数据在相关页面间保持一致。</t>
        </is>
      </c>
      <c r="Y58" s="16" t="inlineStr">
        <is>
          <t>需确认部门共识与设计稿；仅模拟核心流程，不建设真实后端。</t>
        </is>
      </c>
      <c r="Z58" s="16" t="inlineStr">
        <is>
          <t>待评审范围与负责人。</t>
        </is>
      </c>
      <c r="AA58" s="15" t="inlineStr">
        <is>
          <t>未开始</t>
        </is>
      </c>
      <c r="AB58" s="16" t="n"/>
      <c r="AC58" s="17" t="n">
        <v>46246</v>
      </c>
    </row>
    <row r="59" ht="52" customHeight="1">
      <c r="A59" s="15" t="inlineStr">
        <is>
          <t>DEMO-055</t>
        </is>
      </c>
      <c r="B59" s="16" t="inlineStr">
        <is>
          <t>流水线</t>
        </is>
      </c>
      <c r="C59" s="16" t="inlineStr">
        <is>
          <t>运行详情</t>
        </is>
      </c>
      <c r="D59" s="16" t="inlineStr">
        <is>
          <t>阶段图与运行状态</t>
        </is>
      </c>
      <c r="E59" s="16" t="inlineStr">
        <is>
          <t>新功能</t>
        </is>
      </c>
      <c r="F59" s="15" t="inlineStr">
        <is>
          <t>是</t>
        </is>
      </c>
      <c r="G59" s="16" t="inlineStr">
        <is>
          <t>Demo 模拟</t>
        </is>
      </c>
      <c r="H59" s="16" t="inlineStr">
        <is>
          <t>用阶段视图解释构建、测试、扫描和发布过程。</t>
        </is>
      </c>
      <c r="I59" s="16" t="inlineStr">
        <is>
          <t>跨部门推广规划</t>
        </is>
      </c>
      <c r="J59" s="16" t="inlineStr">
        <is>
          <t>研发、测试、运维</t>
        </is>
      </c>
      <c r="K59" s="15" t="inlineStr">
        <is>
          <t>P0</t>
        </is>
      </c>
      <c r="L59" s="15" t="inlineStr">
        <is>
          <t>已规划</t>
        </is>
      </c>
      <c r="M59" s="15" t="inlineStr">
        <is>
          <t>L0 占位可达</t>
        </is>
      </c>
      <c r="N59" s="15" t="inlineStr">
        <is>
          <t>L4 端到端叙事</t>
        </is>
      </c>
      <c r="O59" s="16" t="inlineStr">
        <is>
          <t>当前导航可达，使用通用占位页面。</t>
        </is>
      </c>
      <c r="P59" s="16" t="inlineStr">
        <is>
          <t>补齐关键场景、示例数据和核心交互。</t>
        </is>
      </c>
      <c r="Q59" s="16" t="inlineStr">
        <is>
          <t>待认领</t>
        </is>
      </c>
      <c r="R59" s="16" t="inlineStr">
        <is>
          <t>产品、设计、前端</t>
        </is>
      </c>
      <c r="S59" s="15" t="inlineStr">
        <is>
          <t>v0.3</t>
        </is>
      </c>
      <c r="T59" s="15" t="inlineStr">
        <is>
          <t>建议排期</t>
        </is>
      </c>
      <c r="U59" s="17" t="n">
        <v>46283</v>
      </c>
      <c r="V59" s="16" t="inlineStr"/>
      <c r="W59" s="16" t="inlineStr"/>
      <c r="X59" s="16" t="inlineStr">
        <is>
          <t>可从导航进入；核心信息完整；关键交互可操作；数据在相关页面间保持一致。</t>
        </is>
      </c>
      <c r="Y59" s="16" t="inlineStr">
        <is>
          <t>需确认部门共识与设计稿；仅模拟核心流程，不建设真实后端。</t>
        </is>
      </c>
      <c r="Z59" s="16" t="inlineStr">
        <is>
          <t>待评审范围与负责人。</t>
        </is>
      </c>
      <c r="AA59" s="15" t="inlineStr">
        <is>
          <t>未开始</t>
        </is>
      </c>
      <c r="AB59" s="16" t="n"/>
      <c r="AC59" s="17" t="n">
        <v>46246</v>
      </c>
    </row>
    <row r="60" ht="52" customHeight="1">
      <c r="A60" s="15" t="inlineStr">
        <is>
          <t>DEMO-056</t>
        </is>
      </c>
      <c r="B60" s="16" t="inlineStr">
        <is>
          <t>流水线</t>
        </is>
      </c>
      <c r="C60" s="16" t="inlineStr">
        <is>
          <t>运行详情</t>
        </is>
      </c>
      <c r="D60" s="16" t="inlineStr">
        <is>
          <t>任务日志与失败定位</t>
        </is>
      </c>
      <c r="E60" s="16" t="inlineStr">
        <is>
          <t>新功能</t>
        </is>
      </c>
      <c r="F60" s="15" t="inlineStr">
        <is>
          <t>否</t>
        </is>
      </c>
      <c r="G60" s="16" t="inlineStr">
        <is>
          <t>Demo 模拟</t>
        </is>
      </c>
      <c r="H60" s="16" t="inlineStr">
        <is>
          <t>展开任务日志并定位失败步骤，支撑问题沟通。</t>
        </is>
      </c>
      <c r="I60" s="16" t="inlineStr">
        <is>
          <t>跨部门推广规划</t>
        </is>
      </c>
      <c r="J60" s="16" t="inlineStr">
        <is>
          <t>研发、测试、运维</t>
        </is>
      </c>
      <c r="K60" s="15" t="inlineStr">
        <is>
          <t>P1</t>
        </is>
      </c>
      <c r="L60" s="15" t="inlineStr">
        <is>
          <t>已规划</t>
        </is>
      </c>
      <c r="M60" s="15" t="inlineStr">
        <is>
          <t>L0 占位可达</t>
        </is>
      </c>
      <c r="N60" s="15" t="inlineStr">
        <is>
          <t>L3 数据联动</t>
        </is>
      </c>
      <c r="O60" s="16" t="inlineStr">
        <is>
          <t>当前导航可达，使用通用占位页面。</t>
        </is>
      </c>
      <c r="P60" s="16" t="inlineStr">
        <is>
          <t>补齐关键场景、示例数据和核心交互。</t>
        </is>
      </c>
      <c r="Q60" s="16" t="inlineStr">
        <is>
          <t>待认领</t>
        </is>
      </c>
      <c r="R60" s="16" t="inlineStr">
        <is>
          <t>产品、设计、前端</t>
        </is>
      </c>
      <c r="S60" s="15" t="inlineStr">
        <is>
          <t>v0.3</t>
        </is>
      </c>
      <c r="T60" s="15" t="inlineStr">
        <is>
          <t>建议排期</t>
        </is>
      </c>
      <c r="U60" s="17" t="n">
        <v>46283</v>
      </c>
      <c r="V60" s="16" t="inlineStr"/>
      <c r="W60" s="16" t="inlineStr"/>
      <c r="X60" s="16" t="inlineStr">
        <is>
          <t>可从导航进入；核心信息完整；关键交互可操作；数据在相关页面间保持一致。</t>
        </is>
      </c>
      <c r="Y60" s="16" t="inlineStr">
        <is>
          <t>需确认部门共识与设计稿；仅模拟核心流程，不建设真实后端。</t>
        </is>
      </c>
      <c r="Z60" s="16" t="inlineStr">
        <is>
          <t>待评审范围与负责人。</t>
        </is>
      </c>
      <c r="AA60" s="15" t="inlineStr">
        <is>
          <t>未开始</t>
        </is>
      </c>
      <c r="AB60" s="16" t="n"/>
      <c r="AC60" s="17" t="n">
        <v>46246</v>
      </c>
    </row>
    <row r="61" ht="52" customHeight="1">
      <c r="A61" s="15" t="inlineStr">
        <is>
          <t>DEMO-057</t>
        </is>
      </c>
      <c r="B61" s="16" t="inlineStr">
        <is>
          <t>流水线</t>
        </is>
      </c>
      <c r="C61" s="16" t="inlineStr">
        <is>
          <t>运行操作</t>
        </is>
      </c>
      <c r="D61" s="16" t="inlineStr">
        <is>
          <t>手动执行、停止与重试</t>
        </is>
      </c>
      <c r="E61" s="16" t="inlineStr">
        <is>
          <t>新功能</t>
        </is>
      </c>
      <c r="F61" s="15" t="inlineStr">
        <is>
          <t>否</t>
        </is>
      </c>
      <c r="G61" s="16" t="inlineStr">
        <is>
          <t>UI 交互 + 本地状态</t>
        </is>
      </c>
      <c r="H61" s="16" t="inlineStr">
        <is>
          <t>模拟常见流水线操作和状态反馈。</t>
        </is>
      </c>
      <c r="I61" s="16" t="inlineStr">
        <is>
          <t>跨部门推广规划</t>
        </is>
      </c>
      <c r="J61" s="16" t="inlineStr">
        <is>
          <t>研发、测试、运维</t>
        </is>
      </c>
      <c r="K61" s="15" t="inlineStr">
        <is>
          <t>P2</t>
        </is>
      </c>
      <c r="L61" s="15" t="inlineStr">
        <is>
          <t>已规划</t>
        </is>
      </c>
      <c r="M61" s="15" t="inlineStr">
        <is>
          <t>L0 占位可达</t>
        </is>
      </c>
      <c r="N61" s="15" t="inlineStr">
        <is>
          <t>L2 可交互</t>
        </is>
      </c>
      <c r="O61" s="16" t="inlineStr">
        <is>
          <t>当前导航可达，使用通用占位页面。</t>
        </is>
      </c>
      <c r="P61" s="16" t="inlineStr">
        <is>
          <t>补齐关键场景、示例数据和核心交互。</t>
        </is>
      </c>
      <c r="Q61" s="16" t="inlineStr">
        <is>
          <t>待认领</t>
        </is>
      </c>
      <c r="R61" s="16" t="inlineStr">
        <is>
          <t>产品、设计、前端</t>
        </is>
      </c>
      <c r="S61" s="15" t="inlineStr">
        <is>
          <t>v0.4</t>
        </is>
      </c>
      <c r="T61" s="15" t="inlineStr">
        <is>
          <t>建议排期</t>
        </is>
      </c>
      <c r="U61" s="17" t="n">
        <v>46311</v>
      </c>
      <c r="V61" s="16" t="inlineStr"/>
      <c r="W61" s="16" t="inlineStr"/>
      <c r="X61" s="16" t="inlineStr">
        <is>
          <t>可从导航进入；核心信息完整；关键交互可操作；数据在相关页面间保持一致。</t>
        </is>
      </c>
      <c r="Y61" s="16" t="inlineStr">
        <is>
          <t>需确认部门共识与设计稿；仅模拟核心流程，不建设真实后端。</t>
        </is>
      </c>
      <c r="Z61" s="16" t="inlineStr">
        <is>
          <t>待评审范围与负责人。</t>
        </is>
      </c>
      <c r="AA61" s="15" t="inlineStr">
        <is>
          <t>未开始</t>
        </is>
      </c>
      <c r="AB61" s="16" t="n"/>
      <c r="AC61" s="17" t="n">
        <v>46246</v>
      </c>
    </row>
    <row r="62" ht="52" customHeight="1">
      <c r="A62" s="15" t="inlineStr">
        <is>
          <t>DEMO-058</t>
        </is>
      </c>
      <c r="B62" s="16" t="inlineStr">
        <is>
          <t>流水线</t>
        </is>
      </c>
      <c r="C62" s="16" t="inlineStr">
        <is>
          <t>流水线配置</t>
        </is>
      </c>
      <c r="D62" s="16" t="inlineStr">
        <is>
          <t>可视化编排与 YAML 预览</t>
        </is>
      </c>
      <c r="E62" s="16" t="inlineStr">
        <is>
          <t>新功能</t>
        </is>
      </c>
      <c r="F62" s="15" t="inlineStr">
        <is>
          <t>否</t>
        </is>
      </c>
      <c r="G62" s="16" t="inlineStr">
        <is>
          <t>Demo 模拟</t>
        </is>
      </c>
      <c r="H62" s="16" t="inlineStr">
        <is>
          <t>帮助讨论流水线阶段、任务和配置结构。</t>
        </is>
      </c>
      <c r="I62" s="16" t="inlineStr">
        <is>
          <t>跨部门推广规划</t>
        </is>
      </c>
      <c r="J62" s="16" t="inlineStr">
        <is>
          <t>研发、运维</t>
        </is>
      </c>
      <c r="K62" s="15" t="inlineStr">
        <is>
          <t>P3</t>
        </is>
      </c>
      <c r="L62" s="15" t="inlineStr">
        <is>
          <t>待评估</t>
        </is>
      </c>
      <c r="M62" s="15" t="inlineStr">
        <is>
          <t>L0 占位可达</t>
        </is>
      </c>
      <c r="N62" s="15" t="inlineStr">
        <is>
          <t>L3 数据联动</t>
        </is>
      </c>
      <c r="O62" s="16" t="inlineStr">
        <is>
          <t>当前导航可达，使用通用占位页面。</t>
        </is>
      </c>
      <c r="P62" s="16" t="inlineStr">
        <is>
          <t>补齐关键场景、示例数据和核心交互。</t>
        </is>
      </c>
      <c r="Q62" s="16" t="inlineStr">
        <is>
          <t>待认领</t>
        </is>
      </c>
      <c r="R62" s="16" t="inlineStr">
        <is>
          <t>产品、设计、前端</t>
        </is>
      </c>
      <c r="S62" s="15" t="inlineStr">
        <is>
          <t>v1.0</t>
        </is>
      </c>
      <c r="T62" s="15" t="inlineStr">
        <is>
          <t>建议排期</t>
        </is>
      </c>
      <c r="U62" s="17" t="n">
        <v>46325</v>
      </c>
      <c r="V62" s="16" t="inlineStr"/>
      <c r="W62" s="16" t="inlineStr"/>
      <c r="X62" s="16" t="inlineStr">
        <is>
          <t>可从导航进入；核心信息完整；关键交互可操作；数据在相关页面间保持一致。</t>
        </is>
      </c>
      <c r="Y62" s="16" t="inlineStr">
        <is>
          <t>需确认部门共识与设计稿；仅模拟核心流程，不建设真实后端。</t>
        </is>
      </c>
      <c r="Z62" s="16" t="inlineStr">
        <is>
          <t>待评审范围与负责人。</t>
        </is>
      </c>
      <c r="AA62" s="15" t="inlineStr">
        <is>
          <t>未开始</t>
        </is>
      </c>
      <c r="AB62" s="16" t="n"/>
      <c r="AC62" s="17" t="n">
        <v>46246</v>
      </c>
    </row>
    <row r="63" ht="52" customHeight="1">
      <c r="A63" s="15" t="inlineStr">
        <is>
          <t>DEMO-059</t>
        </is>
      </c>
      <c r="B63" s="16" t="inlineStr">
        <is>
          <t>制品管理</t>
        </is>
      </c>
      <c r="C63" s="16" t="inlineStr">
        <is>
          <t>制品仓库</t>
        </is>
      </c>
      <c r="D63" s="16" t="inlineStr">
        <is>
          <t>制品仓库与版本列表</t>
        </is>
      </c>
      <c r="E63" s="16" t="inlineStr">
        <is>
          <t>新功能</t>
        </is>
      </c>
      <c r="F63" s="15" t="inlineStr">
        <is>
          <t>是</t>
        </is>
      </c>
      <c r="G63" s="16" t="inlineStr">
        <is>
          <t>Demo 模拟</t>
        </is>
      </c>
      <c r="H63" s="16" t="inlineStr">
        <is>
          <t>浏览构建产物、版本、来源流水线和发布时间。</t>
        </is>
      </c>
      <c r="I63" s="16" t="inlineStr">
        <is>
          <t>跨部门推广规划</t>
        </is>
      </c>
      <c r="J63" s="16" t="inlineStr">
        <is>
          <t>研发、测试、运维、配置管理</t>
        </is>
      </c>
      <c r="K63" s="15" t="inlineStr">
        <is>
          <t>P1</t>
        </is>
      </c>
      <c r="L63" s="15" t="inlineStr">
        <is>
          <t>已规划</t>
        </is>
      </c>
      <c r="M63" s="15" t="inlineStr">
        <is>
          <t>L0 占位可达</t>
        </is>
      </c>
      <c r="N63" s="15" t="inlineStr">
        <is>
          <t>L3 数据联动</t>
        </is>
      </c>
      <c r="O63" s="16" t="inlineStr">
        <is>
          <t>当前导航可达，使用通用占位页面。</t>
        </is>
      </c>
      <c r="P63" s="16" t="inlineStr">
        <is>
          <t>补齐关键场景、示例数据和核心交互。</t>
        </is>
      </c>
      <c r="Q63" s="16" t="inlineStr">
        <is>
          <t>待认领</t>
        </is>
      </c>
      <c r="R63" s="16" t="inlineStr">
        <is>
          <t>产品、设计、前端</t>
        </is>
      </c>
      <c r="S63" s="15" t="inlineStr">
        <is>
          <t>v0.4</t>
        </is>
      </c>
      <c r="T63" s="15" t="inlineStr">
        <is>
          <t>建议排期</t>
        </is>
      </c>
      <c r="U63" s="17" t="n">
        <v>46311</v>
      </c>
      <c r="V63" s="16" t="inlineStr"/>
      <c r="W63" s="18" t="inlineStr">
        <is>
          <t>http://127.0.0.1:5173/demo/#/projects/lighting/artifacts/repository</t>
        </is>
      </c>
      <c r="X63" s="16" t="inlineStr">
        <is>
          <t>可从导航进入；核心信息完整；关键交互可操作；数据在相关页面间保持一致。</t>
        </is>
      </c>
      <c r="Y63" s="16" t="inlineStr">
        <is>
          <t>需确认部门共识与设计稿；仅模拟核心流程，不建设真实后端。</t>
        </is>
      </c>
      <c r="Z63" s="16" t="inlineStr">
        <is>
          <t>待评审范围与负责人。</t>
        </is>
      </c>
      <c r="AA63" s="15" t="inlineStr">
        <is>
          <t>未开始</t>
        </is>
      </c>
      <c r="AB63" s="16" t="n"/>
      <c r="AC63" s="17" t="n">
        <v>46246</v>
      </c>
    </row>
    <row r="64" ht="52" customHeight="1">
      <c r="A64" s="15" t="inlineStr">
        <is>
          <t>DEMO-060</t>
        </is>
      </c>
      <c r="B64" s="16" t="inlineStr">
        <is>
          <t>制品管理</t>
        </is>
      </c>
      <c r="C64" s="16" t="inlineStr">
        <is>
          <t>制品详情</t>
        </is>
      </c>
      <c r="D64" s="16" t="inlineStr">
        <is>
          <t>版本详情、校验与下载</t>
        </is>
      </c>
      <c r="E64" s="16" t="inlineStr">
        <is>
          <t>新功能</t>
        </is>
      </c>
      <c r="F64" s="15" t="inlineStr">
        <is>
          <t>否</t>
        </is>
      </c>
      <c r="G64" s="16" t="inlineStr">
        <is>
          <t>Demo 模拟</t>
        </is>
      </c>
      <c r="H64" s="16" t="inlineStr">
        <is>
          <t>展示制品元数据、校验值、关联提交和下载入口。</t>
        </is>
      </c>
      <c r="I64" s="16" t="inlineStr">
        <is>
          <t>跨部门推广规划</t>
        </is>
      </c>
      <c r="J64" s="16" t="inlineStr">
        <is>
          <t>研发、测试、运维、配置管理</t>
        </is>
      </c>
      <c r="K64" s="15" t="inlineStr">
        <is>
          <t>P1</t>
        </is>
      </c>
      <c r="L64" s="15" t="inlineStr">
        <is>
          <t>已规划</t>
        </is>
      </c>
      <c r="M64" s="15" t="inlineStr">
        <is>
          <t>L0 占位可达</t>
        </is>
      </c>
      <c r="N64" s="15" t="inlineStr">
        <is>
          <t>L3 数据联动</t>
        </is>
      </c>
      <c r="O64" s="16" t="inlineStr">
        <is>
          <t>当前导航可达，使用通用占位页面。</t>
        </is>
      </c>
      <c r="P64" s="16" t="inlineStr">
        <is>
          <t>补齐关键场景、示例数据和核心交互。</t>
        </is>
      </c>
      <c r="Q64" s="16" t="inlineStr">
        <is>
          <t>待认领</t>
        </is>
      </c>
      <c r="R64" s="16" t="inlineStr">
        <is>
          <t>产品、设计、前端</t>
        </is>
      </c>
      <c r="S64" s="15" t="inlineStr">
        <is>
          <t>v0.4</t>
        </is>
      </c>
      <c r="T64" s="15" t="inlineStr">
        <is>
          <t>建议排期</t>
        </is>
      </c>
      <c r="U64" s="17" t="n">
        <v>46311</v>
      </c>
      <c r="V64" s="16" t="inlineStr"/>
      <c r="W64" s="16" t="inlineStr"/>
      <c r="X64" s="16" t="inlineStr">
        <is>
          <t>可从导航进入；核心信息完整；关键交互可操作；数据在相关页面间保持一致。</t>
        </is>
      </c>
      <c r="Y64" s="16" t="inlineStr">
        <is>
          <t>需确认部门共识与设计稿；仅模拟核心流程，不建设真实后端。</t>
        </is>
      </c>
      <c r="Z64" s="16" t="inlineStr">
        <is>
          <t>待评审范围与负责人。</t>
        </is>
      </c>
      <c r="AA64" s="15" t="inlineStr">
        <is>
          <t>未开始</t>
        </is>
      </c>
      <c r="AB64" s="16" t="n"/>
      <c r="AC64" s="17" t="n">
        <v>46246</v>
      </c>
    </row>
    <row r="65" ht="52" customHeight="1">
      <c r="A65" s="15" t="inlineStr">
        <is>
          <t>DEMO-061</t>
        </is>
      </c>
      <c r="B65" s="16" t="inlineStr">
        <is>
          <t>制品管理</t>
        </is>
      </c>
      <c r="C65" s="16" t="inlineStr">
        <is>
          <t>依赖库</t>
        </is>
      </c>
      <c r="D65" s="16" t="inlineStr">
        <is>
          <t>项目依赖与版本清单</t>
        </is>
      </c>
      <c r="E65" s="16" t="inlineStr">
        <is>
          <t>新功能</t>
        </is>
      </c>
      <c r="F65" s="15" t="inlineStr">
        <is>
          <t>否</t>
        </is>
      </c>
      <c r="G65" s="16" t="inlineStr">
        <is>
          <t>Demo 模拟</t>
        </is>
      </c>
      <c r="H65" s="16" t="inlineStr">
        <is>
          <t>查看项目直接／间接依赖、版本和使用范围。</t>
        </is>
      </c>
      <c r="I65" s="16" t="inlineStr">
        <is>
          <t>跨部门推广规划</t>
        </is>
      </c>
      <c r="J65" s="16" t="inlineStr">
        <is>
          <t>研发、质量、安全</t>
        </is>
      </c>
      <c r="K65" s="15" t="inlineStr">
        <is>
          <t>P2</t>
        </is>
      </c>
      <c r="L65" s="15" t="inlineStr">
        <is>
          <t>已规划</t>
        </is>
      </c>
      <c r="M65" s="15" t="inlineStr">
        <is>
          <t>L0 占位可达</t>
        </is>
      </c>
      <c r="N65" s="15" t="inlineStr">
        <is>
          <t>L3 数据联动</t>
        </is>
      </c>
      <c r="O65" s="16" t="inlineStr">
        <is>
          <t>当前导航可达，使用通用占位页面。</t>
        </is>
      </c>
      <c r="P65" s="16" t="inlineStr">
        <is>
          <t>补齐关键场景、示例数据和核心交互。</t>
        </is>
      </c>
      <c r="Q65" s="16" t="inlineStr">
        <is>
          <t>待认领</t>
        </is>
      </c>
      <c r="R65" s="16" t="inlineStr">
        <is>
          <t>产品、设计、前端</t>
        </is>
      </c>
      <c r="S65" s="15" t="inlineStr">
        <is>
          <t>v0.4</t>
        </is>
      </c>
      <c r="T65" s="15" t="inlineStr">
        <is>
          <t>建议排期</t>
        </is>
      </c>
      <c r="U65" s="17" t="n">
        <v>46311</v>
      </c>
      <c r="V65" s="16" t="inlineStr"/>
      <c r="W65" s="18" t="inlineStr">
        <is>
          <t>http://127.0.0.1:5173/demo/#/projects/lighting/artifacts/dependencies</t>
        </is>
      </c>
      <c r="X65" s="16" t="inlineStr">
        <is>
          <t>可从导航进入；核心信息完整；关键交互可操作；数据在相关页面间保持一致。</t>
        </is>
      </c>
      <c r="Y65" s="16" t="inlineStr">
        <is>
          <t>需确认部门共识与设计稿；仅模拟核心流程，不建设真实后端。</t>
        </is>
      </c>
      <c r="Z65" s="16" t="inlineStr">
        <is>
          <t>待评审范围与负责人。</t>
        </is>
      </c>
      <c r="AA65" s="15" t="inlineStr">
        <is>
          <t>未开始</t>
        </is>
      </c>
      <c r="AB65" s="16" t="n"/>
      <c r="AC65" s="17" t="n">
        <v>46246</v>
      </c>
    </row>
    <row r="66" ht="52" customHeight="1">
      <c r="A66" s="15" t="inlineStr">
        <is>
          <t>DEMO-062</t>
        </is>
      </c>
      <c r="B66" s="16" t="inlineStr">
        <is>
          <t>制品管理</t>
        </is>
      </c>
      <c r="C66" s="16" t="inlineStr">
        <is>
          <t>依赖治理</t>
        </is>
      </c>
      <c r="D66" s="16" t="inlineStr">
        <is>
          <t>SBOM 与许可证</t>
        </is>
      </c>
      <c r="E66" s="16" t="inlineStr">
        <is>
          <t>新功能</t>
        </is>
      </c>
      <c r="F66" s="15" t="inlineStr">
        <is>
          <t>否</t>
        </is>
      </c>
      <c r="G66" s="16" t="inlineStr">
        <is>
          <t>Demo 模拟</t>
        </is>
      </c>
      <c r="H66" s="16" t="inlineStr">
        <is>
          <t>展示软件物料清单、许可证类型和合规风险。</t>
        </is>
      </c>
      <c r="I66" s="16" t="inlineStr">
        <is>
          <t>跨部门推广规划</t>
        </is>
      </c>
      <c r="J66" s="16" t="inlineStr">
        <is>
          <t>研发、质量、安全、法务</t>
        </is>
      </c>
      <c r="K66" s="15" t="inlineStr">
        <is>
          <t>P2</t>
        </is>
      </c>
      <c r="L66" s="15" t="inlineStr">
        <is>
          <t>已规划</t>
        </is>
      </c>
      <c r="M66" s="15" t="inlineStr">
        <is>
          <t>L0 占位可达</t>
        </is>
      </c>
      <c r="N66" s="15" t="inlineStr">
        <is>
          <t>L3 数据联动</t>
        </is>
      </c>
      <c r="O66" s="16" t="inlineStr">
        <is>
          <t>当前导航可达，使用通用占位页面。</t>
        </is>
      </c>
      <c r="P66" s="16" t="inlineStr">
        <is>
          <t>补齐关键场景、示例数据和核心交互。</t>
        </is>
      </c>
      <c r="Q66" s="16" t="inlineStr">
        <is>
          <t>待认领</t>
        </is>
      </c>
      <c r="R66" s="16" t="inlineStr">
        <is>
          <t>产品、设计、前端</t>
        </is>
      </c>
      <c r="S66" s="15" t="inlineStr">
        <is>
          <t>v1.0</t>
        </is>
      </c>
      <c r="T66" s="15" t="inlineStr">
        <is>
          <t>建议排期</t>
        </is>
      </c>
      <c r="U66" s="17" t="n">
        <v>46325</v>
      </c>
      <c r="V66" s="16" t="inlineStr"/>
      <c r="W66" s="16" t="inlineStr"/>
      <c r="X66" s="16" t="inlineStr">
        <is>
          <t>可从导航进入；核心信息完整；关键交互可操作；数据在相关页面间保持一致。</t>
        </is>
      </c>
      <c r="Y66" s="16" t="inlineStr">
        <is>
          <t>需确认部门共识与设计稿；仅模拟核心流程，不建设真实后端。</t>
        </is>
      </c>
      <c r="Z66" s="16" t="inlineStr">
        <is>
          <t>待评审范围与负责人。</t>
        </is>
      </c>
      <c r="AA66" s="15" t="inlineStr">
        <is>
          <t>未开始</t>
        </is>
      </c>
      <c r="AB66" s="16" t="n"/>
      <c r="AC66" s="17" t="n">
        <v>46246</v>
      </c>
    </row>
    <row r="67" ht="52" customHeight="1">
      <c r="A67" s="15" t="inlineStr">
        <is>
          <t>DEMO-063</t>
        </is>
      </c>
      <c r="B67" s="16" t="inlineStr">
        <is>
          <t>制品管理</t>
        </is>
      </c>
      <c r="C67" s="16" t="inlineStr">
        <is>
          <t>依赖治理</t>
        </is>
      </c>
      <c r="D67" s="16" t="inlineStr">
        <is>
          <t>漏洞与修复建议</t>
        </is>
      </c>
      <c r="E67" s="16" t="inlineStr">
        <is>
          <t>新功能</t>
        </is>
      </c>
      <c r="F67" s="15" t="inlineStr">
        <is>
          <t>否</t>
        </is>
      </c>
      <c r="G67" s="16" t="inlineStr">
        <is>
          <t>Demo 模拟</t>
        </is>
      </c>
      <c r="H67" s="16" t="inlineStr">
        <is>
          <t>关联依赖漏洞、影响范围和建议升级版本。</t>
        </is>
      </c>
      <c r="I67" s="16" t="inlineStr">
        <is>
          <t>跨部门推广规划</t>
        </is>
      </c>
      <c r="J67" s="16" t="inlineStr">
        <is>
          <t>研发、质量、安全</t>
        </is>
      </c>
      <c r="K67" s="15" t="inlineStr">
        <is>
          <t>P2</t>
        </is>
      </c>
      <c r="L67" s="15" t="inlineStr">
        <is>
          <t>已规划</t>
        </is>
      </c>
      <c r="M67" s="15" t="inlineStr">
        <is>
          <t>L0 占位可达</t>
        </is>
      </c>
      <c r="N67" s="15" t="inlineStr">
        <is>
          <t>L3 数据联动</t>
        </is>
      </c>
      <c r="O67" s="16" t="inlineStr">
        <is>
          <t>当前导航可达，使用通用占位页面。</t>
        </is>
      </c>
      <c r="P67" s="16" t="inlineStr">
        <is>
          <t>补齐关键场景、示例数据和核心交互。</t>
        </is>
      </c>
      <c r="Q67" s="16" t="inlineStr">
        <is>
          <t>待认领</t>
        </is>
      </c>
      <c r="R67" s="16" t="inlineStr">
        <is>
          <t>产品、设计、前端</t>
        </is>
      </c>
      <c r="S67" s="15" t="inlineStr">
        <is>
          <t>v1.0</t>
        </is>
      </c>
      <c r="T67" s="15" t="inlineStr">
        <is>
          <t>建议排期</t>
        </is>
      </c>
      <c r="U67" s="17" t="n">
        <v>46325</v>
      </c>
      <c r="V67" s="16" t="inlineStr"/>
      <c r="W67" s="16" t="inlineStr"/>
      <c r="X67" s="16" t="inlineStr">
        <is>
          <t>可从导航进入；核心信息完整；关键交互可操作；数据在相关页面间保持一致。</t>
        </is>
      </c>
      <c r="Y67" s="16" t="inlineStr">
        <is>
          <t>需确认部门共识与设计稿；仅模拟核心流程，不建设真实后端。</t>
        </is>
      </c>
      <c r="Z67" s="16" t="inlineStr">
        <is>
          <t>待评审范围与负责人。</t>
        </is>
      </c>
      <c r="AA67" s="15" t="inlineStr">
        <is>
          <t>未开始</t>
        </is>
      </c>
      <c r="AB67" s="16" t="n"/>
      <c r="AC67" s="17" t="n">
        <v>46246</v>
      </c>
    </row>
    <row r="68" ht="52" customHeight="1">
      <c r="A68" s="15" t="inlineStr">
        <is>
          <t>DEMO-064</t>
        </is>
      </c>
      <c r="B68" s="16" t="inlineStr">
        <is>
          <t>部署管理</t>
        </is>
      </c>
      <c r="C68" s="16" t="inlineStr">
        <is>
          <t>应用管理</t>
        </is>
      </c>
      <c r="D68" s="16" t="inlineStr">
        <is>
          <t>应用列表与部署状态</t>
        </is>
      </c>
      <c r="E68" s="16" t="inlineStr">
        <is>
          <t>现有能力</t>
        </is>
      </c>
      <c r="F68" s="15" t="inlineStr">
        <is>
          <t>是</t>
        </is>
      </c>
      <c r="G68" s="16" t="inlineStr">
        <is>
          <t>UI 交互 + 数据联动</t>
        </is>
      </c>
      <c r="H68" s="16" t="inlineStr">
        <is>
          <t>查看应用、环境、版本、部署进度和操作菜单。</t>
        </is>
      </c>
      <c r="I68" s="16" t="inlineStr">
        <is>
          <t>现有 Demo 实现</t>
        </is>
      </c>
      <c r="J68" s="16" t="inlineStr">
        <is>
          <t>产品、研发、设计</t>
        </is>
      </c>
      <c r="K68" s="15" t="inlineStr">
        <is>
          <t>P0</t>
        </is>
      </c>
      <c r="L68" s="15" t="inlineStr">
        <is>
          <t>已完成</t>
        </is>
      </c>
      <c r="M68" s="15" t="inlineStr">
        <is>
          <t>L3 数据联动</t>
        </is>
      </c>
      <c r="N68" s="15" t="inlineStr">
        <is>
          <t>L3 数据联动</t>
        </is>
      </c>
      <c r="O68" s="16" t="inlineStr">
        <is>
          <t>已完成页面、关键交互和示例数据联动。</t>
        </is>
      </c>
      <c r="P68" s="16" t="inlineStr">
        <is>
          <t>纳入回归清单，持续根据部门反馈微调。</t>
        </is>
      </c>
      <c r="Q68" s="16" t="inlineStr">
        <is>
          <t>Demo 小组</t>
        </is>
      </c>
      <c r="R68" s="16" t="inlineStr">
        <is>
          <t>产品、设计、前端</t>
        </is>
      </c>
      <c r="S68" s="15" t="inlineStr">
        <is>
          <t>v0.1</t>
        </is>
      </c>
      <c r="T68" s="15" t="inlineStr">
        <is>
          <t>已确认</t>
        </is>
      </c>
      <c r="U68" s="17" t="n">
        <v>46246</v>
      </c>
      <c r="V68" s="16" t="inlineStr"/>
      <c r="W68" s="18" t="inlineStr">
        <is>
          <t>http://127.0.0.1:5173/demo/#/projects/lighting/deployments/applications</t>
        </is>
      </c>
      <c r="X68" s="16" t="inlineStr">
        <is>
          <t>页面可稳定访问；主要交互可操作；刷新和页面跳转后数据语义一致。</t>
        </is>
      </c>
      <c r="Y68" s="16" t="inlineStr">
        <is>
          <t>需防止后续修改破坏跨页面数据一致性。</t>
        </is>
      </c>
      <c r="Z68" s="16" t="inlineStr">
        <is>
          <t>已完成并通过本地类型、构建与页面回归。</t>
        </is>
      </c>
      <c r="AA68" s="15" t="inlineStr">
        <is>
          <t>通过</t>
        </is>
      </c>
      <c r="AB68" s="17" t="n">
        <v>46246</v>
      </c>
      <c r="AC68" s="17" t="n">
        <v>46246</v>
      </c>
    </row>
    <row r="69" ht="52" customHeight="1">
      <c r="A69" s="15" t="inlineStr">
        <is>
          <t>DEMO-065</t>
        </is>
      </c>
      <c r="B69" s="16" t="inlineStr">
        <is>
          <t>部署管理</t>
        </is>
      </c>
      <c r="C69" s="16" t="inlineStr">
        <is>
          <t>应用详情</t>
        </is>
      </c>
      <c r="D69" s="16" t="inlineStr">
        <is>
          <t>应用概览</t>
        </is>
      </c>
      <c r="E69" s="16" t="inlineStr">
        <is>
          <t>现有能力</t>
        </is>
      </c>
      <c r="F69" s="15" t="inlineStr">
        <is>
          <t>是</t>
        </is>
      </c>
      <c r="G69" s="16" t="inlineStr">
        <is>
          <t>UI 交互 + 数据联动</t>
        </is>
      </c>
      <c r="H69" s="16" t="inlineStr">
        <is>
          <t>展示应用运行概况、版本和环境信息。</t>
        </is>
      </c>
      <c r="I69" s="16" t="inlineStr">
        <is>
          <t>现有 Demo 实现</t>
        </is>
      </c>
      <c r="J69" s="16" t="inlineStr">
        <is>
          <t>产品、研发、设计</t>
        </is>
      </c>
      <c r="K69" s="15" t="inlineStr">
        <is>
          <t>P0</t>
        </is>
      </c>
      <c r="L69" s="15" t="inlineStr">
        <is>
          <t>已完成</t>
        </is>
      </c>
      <c r="M69" s="15" t="inlineStr">
        <is>
          <t>L3 数据联动</t>
        </is>
      </c>
      <c r="N69" s="15" t="inlineStr">
        <is>
          <t>L3 数据联动</t>
        </is>
      </c>
      <c r="O69" s="16" t="inlineStr">
        <is>
          <t>已完成页面、关键交互和示例数据联动。</t>
        </is>
      </c>
      <c r="P69" s="16" t="inlineStr">
        <is>
          <t>纳入回归清单，持续根据部门反馈微调。</t>
        </is>
      </c>
      <c r="Q69" s="16" t="inlineStr">
        <is>
          <t>Demo 小组</t>
        </is>
      </c>
      <c r="R69" s="16" t="inlineStr">
        <is>
          <t>产品、设计、前端</t>
        </is>
      </c>
      <c r="S69" s="15" t="inlineStr">
        <is>
          <t>v0.1</t>
        </is>
      </c>
      <c r="T69" s="15" t="inlineStr">
        <is>
          <t>已确认</t>
        </is>
      </c>
      <c r="U69" s="17" t="n">
        <v>46246</v>
      </c>
      <c r="V69" s="16" t="inlineStr"/>
      <c r="W69" s="18" t="inlineStr">
        <is>
          <t>http://127.0.0.1:5173/demo/#/projects/lighting/deployments/applications/flight-control/overview</t>
        </is>
      </c>
      <c r="X69" s="16" t="inlineStr">
        <is>
          <t>页面可稳定访问；主要交互可操作；刷新和页面跳转后数据语义一致。</t>
        </is>
      </c>
      <c r="Y69" s="16" t="inlineStr">
        <is>
          <t>需防止后续修改破坏跨页面数据一致性。</t>
        </is>
      </c>
      <c r="Z69" s="16" t="inlineStr">
        <is>
          <t>已完成并通过本地类型、构建与页面回归。</t>
        </is>
      </c>
      <c r="AA69" s="15" t="inlineStr">
        <is>
          <t>通过</t>
        </is>
      </c>
      <c r="AB69" s="17" t="n">
        <v>46246</v>
      </c>
      <c r="AC69" s="17" t="n">
        <v>46246</v>
      </c>
    </row>
    <row r="70" ht="52" customHeight="1">
      <c r="A70" s="15" t="inlineStr">
        <is>
          <t>DEMO-066</t>
        </is>
      </c>
      <c r="B70" s="16" t="inlineStr">
        <is>
          <t>部署管理</t>
        </is>
      </c>
      <c r="C70" s="16" t="inlineStr">
        <is>
          <t>环境规划</t>
        </is>
      </c>
      <c r="D70" s="16" t="inlineStr">
        <is>
          <t>应用环境规划</t>
        </is>
      </c>
      <c r="E70" s="16" t="inlineStr">
        <is>
          <t>现有能力</t>
        </is>
      </c>
      <c r="F70" s="15" t="inlineStr">
        <is>
          <t>是</t>
        </is>
      </c>
      <c r="G70" s="16" t="inlineStr">
        <is>
          <t>UI 交互 + 数据联动</t>
        </is>
      </c>
      <c r="H70" s="16" t="inlineStr">
        <is>
          <t>展示开发、测试、生产环境及部署状态。</t>
        </is>
      </c>
      <c r="I70" s="16" t="inlineStr">
        <is>
          <t>现有 Demo 实现</t>
        </is>
      </c>
      <c r="J70" s="16" t="inlineStr">
        <is>
          <t>产品、研发、设计</t>
        </is>
      </c>
      <c r="K70" s="15" t="inlineStr">
        <is>
          <t>P0</t>
        </is>
      </c>
      <c r="L70" s="15" t="inlineStr">
        <is>
          <t>已完成</t>
        </is>
      </c>
      <c r="M70" s="15" t="inlineStr">
        <is>
          <t>L3 数据联动</t>
        </is>
      </c>
      <c r="N70" s="15" t="inlineStr">
        <is>
          <t>L3 数据联动</t>
        </is>
      </c>
      <c r="O70" s="16" t="inlineStr">
        <is>
          <t>已完成页面、关键交互和示例数据联动。</t>
        </is>
      </c>
      <c r="P70" s="16" t="inlineStr">
        <is>
          <t>纳入回归清单，持续根据部门反馈微调。</t>
        </is>
      </c>
      <c r="Q70" s="16" t="inlineStr">
        <is>
          <t>Demo 小组</t>
        </is>
      </c>
      <c r="R70" s="16" t="inlineStr">
        <is>
          <t>产品、设计、前端</t>
        </is>
      </c>
      <c r="S70" s="15" t="inlineStr">
        <is>
          <t>v0.1</t>
        </is>
      </c>
      <c r="T70" s="15" t="inlineStr">
        <is>
          <t>已确认</t>
        </is>
      </c>
      <c r="U70" s="17" t="n">
        <v>46246</v>
      </c>
      <c r="V70" s="16" t="inlineStr"/>
      <c r="W70" s="18" t="inlineStr">
        <is>
          <t>http://127.0.0.1:5173/demo/#/projects/lighting/deployments/applications/flight-control/environment-planning</t>
        </is>
      </c>
      <c r="X70" s="16" t="inlineStr">
        <is>
          <t>页面可稳定访问；主要交互可操作；刷新和页面跳转后数据语义一致。</t>
        </is>
      </c>
      <c r="Y70" s="16" t="inlineStr">
        <is>
          <t>需防止后续修改破坏跨页面数据一致性。</t>
        </is>
      </c>
      <c r="Z70" s="16" t="inlineStr">
        <is>
          <t>已完成并通过本地类型、构建与页面回归。</t>
        </is>
      </c>
      <c r="AA70" s="15" t="inlineStr">
        <is>
          <t>通过</t>
        </is>
      </c>
      <c r="AB70" s="17" t="n">
        <v>46246</v>
      </c>
      <c r="AC70" s="17" t="n">
        <v>46246</v>
      </c>
    </row>
    <row r="71" ht="52" customHeight="1">
      <c r="A71" s="15" t="inlineStr">
        <is>
          <t>DEMO-067</t>
        </is>
      </c>
      <c r="B71" s="16" t="inlineStr">
        <is>
          <t>部署管理</t>
        </is>
      </c>
      <c r="C71" s="16" t="inlineStr">
        <is>
          <t>发布编排</t>
        </is>
      </c>
      <c r="D71" s="16" t="inlineStr">
        <is>
          <t>发布阶段与审批编排</t>
        </is>
      </c>
      <c r="E71" s="16" t="inlineStr">
        <is>
          <t>新功能</t>
        </is>
      </c>
      <c r="F71" s="15" t="inlineStr">
        <is>
          <t>是</t>
        </is>
      </c>
      <c r="G71" s="16" t="inlineStr">
        <is>
          <t>Demo 模拟</t>
        </is>
      </c>
      <c r="H71" s="16" t="inlineStr">
        <is>
          <t>串联制品选择、环境、审批、部署和验证。</t>
        </is>
      </c>
      <c r="I71" s="16" t="inlineStr">
        <is>
          <t>跨部门推广规划</t>
        </is>
      </c>
      <c r="J71" s="16" t="inlineStr">
        <is>
          <t>研发、测试、运维、质量</t>
        </is>
      </c>
      <c r="K71" s="15" t="inlineStr">
        <is>
          <t>P0</t>
        </is>
      </c>
      <c r="L71" s="15" t="inlineStr">
        <is>
          <t>已规划</t>
        </is>
      </c>
      <c r="M71" s="15" t="inlineStr">
        <is>
          <t>L0 占位可达</t>
        </is>
      </c>
      <c r="N71" s="15" t="inlineStr">
        <is>
          <t>L4 端到端叙事</t>
        </is>
      </c>
      <c r="O71" s="16" t="inlineStr">
        <is>
          <t>当前导航可达，使用通用占位页面。</t>
        </is>
      </c>
      <c r="P71" s="16" t="inlineStr">
        <is>
          <t>补齐关键场景、示例数据和核心交互。</t>
        </is>
      </c>
      <c r="Q71" s="16" t="inlineStr">
        <is>
          <t>待认领</t>
        </is>
      </c>
      <c r="R71" s="16" t="inlineStr">
        <is>
          <t>产品、设计、前端</t>
        </is>
      </c>
      <c r="S71" s="15" t="inlineStr">
        <is>
          <t>v0.4</t>
        </is>
      </c>
      <c r="T71" s="15" t="inlineStr">
        <is>
          <t>建议排期</t>
        </is>
      </c>
      <c r="U71" s="17" t="n">
        <v>46311</v>
      </c>
      <c r="V71" s="16" t="inlineStr"/>
      <c r="W71" s="16" t="inlineStr"/>
      <c r="X71" s="16" t="inlineStr">
        <is>
          <t>可从导航进入；核心信息完整；关键交互可操作；数据在相关页面间保持一致。</t>
        </is>
      </c>
      <c r="Y71" s="16" t="inlineStr">
        <is>
          <t>需确认部门共识与设计稿；仅模拟核心流程，不建设真实后端。</t>
        </is>
      </c>
      <c r="Z71" s="16" t="inlineStr">
        <is>
          <t>待评审范围与负责人。</t>
        </is>
      </c>
      <c r="AA71" s="15" t="inlineStr">
        <is>
          <t>未开始</t>
        </is>
      </c>
      <c r="AB71" s="16" t="n"/>
      <c r="AC71" s="17" t="n">
        <v>46246</v>
      </c>
    </row>
    <row r="72" ht="52" customHeight="1">
      <c r="A72" s="15" t="inlineStr">
        <is>
          <t>DEMO-068</t>
        </is>
      </c>
      <c r="B72" s="16" t="inlineStr">
        <is>
          <t>部署管理</t>
        </is>
      </c>
      <c r="C72" s="16" t="inlineStr">
        <is>
          <t>环境参数</t>
        </is>
      </c>
      <c r="D72" s="16" t="inlineStr">
        <is>
          <t>环境参数与差异对比</t>
        </is>
      </c>
      <c r="E72" s="16" t="inlineStr">
        <is>
          <t>新功能</t>
        </is>
      </c>
      <c r="F72" s="15" t="inlineStr">
        <is>
          <t>否</t>
        </is>
      </c>
      <c r="G72" s="16" t="inlineStr">
        <is>
          <t>Demo 模拟</t>
        </is>
      </c>
      <c r="H72" s="16" t="inlineStr">
        <is>
          <t>展示不同环境配置及差异，降低发布沟通成本。</t>
        </is>
      </c>
      <c r="I72" s="16" t="inlineStr">
        <is>
          <t>跨部门推广规划</t>
        </is>
      </c>
      <c r="J72" s="16" t="inlineStr">
        <is>
          <t>研发、测试、运维</t>
        </is>
      </c>
      <c r="K72" s="15" t="inlineStr">
        <is>
          <t>P1</t>
        </is>
      </c>
      <c r="L72" s="15" t="inlineStr">
        <is>
          <t>已规划</t>
        </is>
      </c>
      <c r="M72" s="15" t="inlineStr">
        <is>
          <t>L0 占位可达</t>
        </is>
      </c>
      <c r="N72" s="15" t="inlineStr">
        <is>
          <t>L3 数据联动</t>
        </is>
      </c>
      <c r="O72" s="16" t="inlineStr">
        <is>
          <t>当前导航可达，使用通用占位页面。</t>
        </is>
      </c>
      <c r="P72" s="16" t="inlineStr">
        <is>
          <t>补齐关键场景、示例数据和核心交互。</t>
        </is>
      </c>
      <c r="Q72" s="16" t="inlineStr">
        <is>
          <t>待认领</t>
        </is>
      </c>
      <c r="R72" s="16" t="inlineStr">
        <is>
          <t>产品、设计、前端</t>
        </is>
      </c>
      <c r="S72" s="15" t="inlineStr">
        <is>
          <t>v0.4</t>
        </is>
      </c>
      <c r="T72" s="15" t="inlineStr">
        <is>
          <t>建议排期</t>
        </is>
      </c>
      <c r="U72" s="17" t="n">
        <v>46311</v>
      </c>
      <c r="V72" s="16" t="inlineStr"/>
      <c r="W72" s="16" t="inlineStr"/>
      <c r="X72" s="16" t="inlineStr">
        <is>
          <t>可从导航进入；核心信息完整；关键交互可操作；数据在相关页面间保持一致。</t>
        </is>
      </c>
      <c r="Y72" s="16" t="inlineStr">
        <is>
          <t>需确认部门共识与设计稿；仅模拟核心流程，不建设真实后端。</t>
        </is>
      </c>
      <c r="Z72" s="16" t="inlineStr">
        <is>
          <t>待评审范围与负责人。</t>
        </is>
      </c>
      <c r="AA72" s="15" t="inlineStr">
        <is>
          <t>未开始</t>
        </is>
      </c>
      <c r="AB72" s="16" t="n"/>
      <c r="AC72" s="17" t="n">
        <v>46246</v>
      </c>
    </row>
    <row r="73" ht="52" customHeight="1">
      <c r="A73" s="15" t="inlineStr">
        <is>
          <t>DEMO-069</t>
        </is>
      </c>
      <c r="B73" s="16" t="inlineStr">
        <is>
          <t>部署管理</t>
        </is>
      </c>
      <c r="C73" s="16" t="inlineStr">
        <is>
          <t>发布历史</t>
        </is>
      </c>
      <c r="D73" s="16" t="inlineStr">
        <is>
          <t>发布历史与结果详情</t>
        </is>
      </c>
      <c r="E73" s="16" t="inlineStr">
        <is>
          <t>新功能</t>
        </is>
      </c>
      <c r="F73" s="15" t="inlineStr">
        <is>
          <t>否</t>
        </is>
      </c>
      <c r="G73" s="16" t="inlineStr">
        <is>
          <t>Demo 模拟</t>
        </is>
      </c>
      <c r="H73" s="16" t="inlineStr">
        <is>
          <t>按应用和环境追踪发布版本、发起人、耗时和结果。</t>
        </is>
      </c>
      <c r="I73" s="16" t="inlineStr">
        <is>
          <t>跨部门推广规划</t>
        </is>
      </c>
      <c r="J73" s="16" t="inlineStr">
        <is>
          <t>研发、测试、运维</t>
        </is>
      </c>
      <c r="K73" s="15" t="inlineStr">
        <is>
          <t>P1</t>
        </is>
      </c>
      <c r="L73" s="15" t="inlineStr">
        <is>
          <t>已规划</t>
        </is>
      </c>
      <c r="M73" s="15" t="inlineStr">
        <is>
          <t>L0 占位可达</t>
        </is>
      </c>
      <c r="N73" s="15" t="inlineStr">
        <is>
          <t>L3 数据联动</t>
        </is>
      </c>
      <c r="O73" s="16" t="inlineStr">
        <is>
          <t>当前导航可达，使用通用占位页面。</t>
        </is>
      </c>
      <c r="P73" s="16" t="inlineStr">
        <is>
          <t>补齐关键场景、示例数据和核心交互。</t>
        </is>
      </c>
      <c r="Q73" s="16" t="inlineStr">
        <is>
          <t>待认领</t>
        </is>
      </c>
      <c r="R73" s="16" t="inlineStr">
        <is>
          <t>产品、设计、前端</t>
        </is>
      </c>
      <c r="S73" s="15" t="inlineStr">
        <is>
          <t>v0.4</t>
        </is>
      </c>
      <c r="T73" s="15" t="inlineStr">
        <is>
          <t>建议排期</t>
        </is>
      </c>
      <c r="U73" s="17" t="n">
        <v>46311</v>
      </c>
      <c r="V73" s="16" t="inlineStr"/>
      <c r="W73" s="16" t="inlineStr"/>
      <c r="X73" s="16" t="inlineStr">
        <is>
          <t>可从导航进入；核心信息完整；关键交互可操作；数据在相关页面间保持一致。</t>
        </is>
      </c>
      <c r="Y73" s="16" t="inlineStr">
        <is>
          <t>需确认部门共识与设计稿；仅模拟核心流程，不建设真实后端。</t>
        </is>
      </c>
      <c r="Z73" s="16" t="inlineStr">
        <is>
          <t>待评审范围与负责人。</t>
        </is>
      </c>
      <c r="AA73" s="15" t="inlineStr">
        <is>
          <t>未开始</t>
        </is>
      </c>
      <c r="AB73" s="16" t="n"/>
      <c r="AC73" s="17" t="n">
        <v>46246</v>
      </c>
    </row>
    <row r="74" ht="52" customHeight="1">
      <c r="A74" s="15" t="inlineStr">
        <is>
          <t>DEMO-070</t>
        </is>
      </c>
      <c r="B74" s="16" t="inlineStr">
        <is>
          <t>部署管理</t>
        </is>
      </c>
      <c r="C74" s="16" t="inlineStr">
        <is>
          <t>环境管理</t>
        </is>
      </c>
      <c r="D74" s="16" t="inlineStr">
        <is>
          <t>环境列表与资源概况</t>
        </is>
      </c>
      <c r="E74" s="16" t="inlineStr">
        <is>
          <t>新功能</t>
        </is>
      </c>
      <c r="F74" s="15" t="inlineStr">
        <is>
          <t>否</t>
        </is>
      </c>
      <c r="G74" s="16" t="inlineStr">
        <is>
          <t>Demo 模拟</t>
        </is>
      </c>
      <c r="H74" s="16" t="inlineStr">
        <is>
          <t>集中查看环境类型、资源、状态和所属应用。</t>
        </is>
      </c>
      <c r="I74" s="16" t="inlineStr">
        <is>
          <t>跨部门推广规划</t>
        </is>
      </c>
      <c r="J74" s="16" t="inlineStr">
        <is>
          <t>测试、运维</t>
        </is>
      </c>
      <c r="K74" s="15" t="inlineStr">
        <is>
          <t>P2</t>
        </is>
      </c>
      <c r="L74" s="15" t="inlineStr">
        <is>
          <t>已规划</t>
        </is>
      </c>
      <c r="M74" s="15" t="inlineStr">
        <is>
          <t>L0 占位可达</t>
        </is>
      </c>
      <c r="N74" s="15" t="inlineStr">
        <is>
          <t>L3 数据联动</t>
        </is>
      </c>
      <c r="O74" s="16" t="inlineStr">
        <is>
          <t>当前导航可达，使用通用占位页面。</t>
        </is>
      </c>
      <c r="P74" s="16" t="inlineStr">
        <is>
          <t>补齐关键场景、示例数据和核心交互。</t>
        </is>
      </c>
      <c r="Q74" s="16" t="inlineStr">
        <is>
          <t>待认领</t>
        </is>
      </c>
      <c r="R74" s="16" t="inlineStr">
        <is>
          <t>产品、设计、前端</t>
        </is>
      </c>
      <c r="S74" s="15" t="inlineStr">
        <is>
          <t>v0.4</t>
        </is>
      </c>
      <c r="T74" s="15" t="inlineStr">
        <is>
          <t>建议排期</t>
        </is>
      </c>
      <c r="U74" s="17" t="n">
        <v>46311</v>
      </c>
      <c r="V74" s="16" t="inlineStr"/>
      <c r="W74" s="18" t="inlineStr">
        <is>
          <t>http://127.0.0.1:5173/demo/#/projects/lighting/deployments/environments</t>
        </is>
      </c>
      <c r="X74" s="16" t="inlineStr">
        <is>
          <t>可从导航进入；核心信息完整；关键交互可操作；数据在相关页面间保持一致。</t>
        </is>
      </c>
      <c r="Y74" s="16" t="inlineStr">
        <is>
          <t>需确认部门共识与设计稿；仅模拟核心流程，不建设真实后端。</t>
        </is>
      </c>
      <c r="Z74" s="16" t="inlineStr">
        <is>
          <t>待评审范围与负责人。</t>
        </is>
      </c>
      <c r="AA74" s="15" t="inlineStr">
        <is>
          <t>未开始</t>
        </is>
      </c>
      <c r="AB74" s="16" t="n"/>
      <c r="AC74" s="17" t="n">
        <v>46246</v>
      </c>
    </row>
    <row r="75" ht="52" customHeight="1">
      <c r="A75" s="15" t="inlineStr">
        <is>
          <t>DEMO-071</t>
        </is>
      </c>
      <c r="B75" s="16" t="inlineStr">
        <is>
          <t>部署管理</t>
        </is>
      </c>
      <c r="C75" s="16" t="inlineStr">
        <is>
          <t>部署操作</t>
        </is>
      </c>
      <c r="D75" s="16" t="inlineStr">
        <is>
          <t>部署日志、验证与回滚</t>
        </is>
      </c>
      <c r="E75" s="16" t="inlineStr">
        <is>
          <t>新功能</t>
        </is>
      </c>
      <c r="F75" s="15" t="inlineStr">
        <is>
          <t>是</t>
        </is>
      </c>
      <c r="G75" s="16" t="inlineStr">
        <is>
          <t>Demo 模拟</t>
        </is>
      </c>
      <c r="H75" s="16" t="inlineStr">
        <is>
          <t>展示失败定位、发布验证和回滚路径。</t>
        </is>
      </c>
      <c r="I75" s="16" t="inlineStr">
        <is>
          <t>跨部门推广规划</t>
        </is>
      </c>
      <c r="J75" s="16" t="inlineStr">
        <is>
          <t>研发、测试、运维</t>
        </is>
      </c>
      <c r="K75" s="15" t="inlineStr">
        <is>
          <t>P0</t>
        </is>
      </c>
      <c r="L75" s="15" t="inlineStr">
        <is>
          <t>已规划</t>
        </is>
      </c>
      <c r="M75" s="15" t="inlineStr">
        <is>
          <t>L0 占位可达</t>
        </is>
      </c>
      <c r="N75" s="15" t="inlineStr">
        <is>
          <t>L4 端到端叙事</t>
        </is>
      </c>
      <c r="O75" s="16" t="inlineStr">
        <is>
          <t>当前导航可达，使用通用占位页面。</t>
        </is>
      </c>
      <c r="P75" s="16" t="inlineStr">
        <is>
          <t>补齐关键场景、示例数据和核心交互。</t>
        </is>
      </c>
      <c r="Q75" s="16" t="inlineStr">
        <is>
          <t>待认领</t>
        </is>
      </c>
      <c r="R75" s="16" t="inlineStr">
        <is>
          <t>产品、设计、前端</t>
        </is>
      </c>
      <c r="S75" s="15" t="inlineStr">
        <is>
          <t>v1.0</t>
        </is>
      </c>
      <c r="T75" s="15" t="inlineStr">
        <is>
          <t>建议排期</t>
        </is>
      </c>
      <c r="U75" s="17" t="n">
        <v>46325</v>
      </c>
      <c r="V75" s="16" t="inlineStr"/>
      <c r="W75" s="16" t="inlineStr"/>
      <c r="X75" s="16" t="inlineStr">
        <is>
          <t>可从导航进入；核心信息完整；关键交互可操作；数据在相关页面间保持一致。</t>
        </is>
      </c>
      <c r="Y75" s="16" t="inlineStr">
        <is>
          <t>需确认部门共识与设计稿；仅模拟核心流程，不建设真实后端。</t>
        </is>
      </c>
      <c r="Z75" s="16" t="inlineStr">
        <is>
          <t>待评审范围与负责人。</t>
        </is>
      </c>
      <c r="AA75" s="15" t="inlineStr">
        <is>
          <t>未开始</t>
        </is>
      </c>
      <c r="AB75" s="16" t="n"/>
      <c r="AC75" s="17" t="n">
        <v>46246</v>
      </c>
    </row>
    <row r="76" ht="52" customHeight="1">
      <c r="A76" s="15" t="inlineStr">
        <is>
          <t>DEMO-072</t>
        </is>
      </c>
      <c r="B76" s="16" t="inlineStr">
        <is>
          <t>测试管理</t>
        </is>
      </c>
      <c r="C76" s="16" t="inlineStr">
        <is>
          <t>测试计划</t>
        </is>
      </c>
      <c r="D76" s="16" t="inlineStr">
        <is>
          <t>测试计划列表与详情</t>
        </is>
      </c>
      <c r="E76" s="16" t="inlineStr">
        <is>
          <t>新功能</t>
        </is>
      </c>
      <c r="F76" s="15" t="inlineStr">
        <is>
          <t>是</t>
        </is>
      </c>
      <c r="G76" s="16" t="inlineStr">
        <is>
          <t>Demo 模拟</t>
        </is>
      </c>
      <c r="H76" s="16" t="inlineStr">
        <is>
          <t>按版本组织测试范围、负责人、周期和进度。</t>
        </is>
      </c>
      <c r="I76" s="16" t="inlineStr">
        <is>
          <t>跨部门推广规划</t>
        </is>
      </c>
      <c r="J76" s="16" t="inlineStr">
        <is>
          <t>测试、产品、研发</t>
        </is>
      </c>
      <c r="K76" s="15" t="inlineStr">
        <is>
          <t>P1</t>
        </is>
      </c>
      <c r="L76" s="15" t="inlineStr">
        <is>
          <t>已规划</t>
        </is>
      </c>
      <c r="M76" s="15" t="inlineStr">
        <is>
          <t>L0 占位可达</t>
        </is>
      </c>
      <c r="N76" s="15" t="inlineStr">
        <is>
          <t>L3 数据联动</t>
        </is>
      </c>
      <c r="O76" s="16" t="inlineStr">
        <is>
          <t>当前导航可达，使用通用占位页面。</t>
        </is>
      </c>
      <c r="P76" s="16" t="inlineStr">
        <is>
          <t>补齐关键场景、示例数据和核心交互。</t>
        </is>
      </c>
      <c r="Q76" s="16" t="inlineStr">
        <is>
          <t>待认领</t>
        </is>
      </c>
      <c r="R76" s="16" t="inlineStr">
        <is>
          <t>产品、设计、前端</t>
        </is>
      </c>
      <c r="S76" s="15" t="inlineStr">
        <is>
          <t>v0.4</t>
        </is>
      </c>
      <c r="T76" s="15" t="inlineStr">
        <is>
          <t>建议排期</t>
        </is>
      </c>
      <c r="U76" s="17" t="n">
        <v>46311</v>
      </c>
      <c r="V76" s="16" t="inlineStr"/>
      <c r="W76" s="18" t="inlineStr">
        <is>
          <t>http://127.0.0.1:5173/demo/#/projects/lighting/testing/plans</t>
        </is>
      </c>
      <c r="X76" s="16" t="inlineStr">
        <is>
          <t>可从导航进入；核心信息完整；关键交互可操作；数据在相关页面间保持一致。</t>
        </is>
      </c>
      <c r="Y76" s="16" t="inlineStr">
        <is>
          <t>需确认部门共识与设计稿；仅模拟核心流程，不建设真实后端。</t>
        </is>
      </c>
      <c r="Z76" s="16" t="inlineStr">
        <is>
          <t>待评审范围与负责人。</t>
        </is>
      </c>
      <c r="AA76" s="15" t="inlineStr">
        <is>
          <t>未开始</t>
        </is>
      </c>
      <c r="AB76" s="16" t="n"/>
      <c r="AC76" s="17" t="n">
        <v>46246</v>
      </c>
    </row>
    <row r="77" ht="52" customHeight="1">
      <c r="A77" s="15" t="inlineStr">
        <is>
          <t>DEMO-073</t>
        </is>
      </c>
      <c r="B77" s="16" t="inlineStr">
        <is>
          <t>测试管理</t>
        </is>
      </c>
      <c r="C77" s="16" t="inlineStr">
        <is>
          <t>测试用例</t>
        </is>
      </c>
      <c r="D77" s="16" t="inlineStr">
        <is>
          <t>测试用例库与步骤详情</t>
        </is>
      </c>
      <c r="E77" s="16" t="inlineStr">
        <is>
          <t>新功能</t>
        </is>
      </c>
      <c r="F77" s="15" t="inlineStr">
        <is>
          <t>否</t>
        </is>
      </c>
      <c r="G77" s="16" t="inlineStr">
        <is>
          <t>Demo 模拟</t>
        </is>
      </c>
      <c r="H77" s="16" t="inlineStr">
        <is>
          <t>展示前置条件、步骤、预期结果和关联需求。</t>
        </is>
      </c>
      <c r="I77" s="16" t="inlineStr">
        <is>
          <t>跨部门推广规划</t>
        </is>
      </c>
      <c r="J77" s="16" t="inlineStr">
        <is>
          <t>测试、产品、研发</t>
        </is>
      </c>
      <c r="K77" s="15" t="inlineStr">
        <is>
          <t>P1</t>
        </is>
      </c>
      <c r="L77" s="15" t="inlineStr">
        <is>
          <t>已规划</t>
        </is>
      </c>
      <c r="M77" s="15" t="inlineStr">
        <is>
          <t>L0 占位可达</t>
        </is>
      </c>
      <c r="N77" s="15" t="inlineStr">
        <is>
          <t>L3 数据联动</t>
        </is>
      </c>
      <c r="O77" s="16" t="inlineStr">
        <is>
          <t>当前导航可达，使用通用占位页面。</t>
        </is>
      </c>
      <c r="P77" s="16" t="inlineStr">
        <is>
          <t>补齐关键场景、示例数据和核心交互。</t>
        </is>
      </c>
      <c r="Q77" s="16" t="inlineStr">
        <is>
          <t>待认领</t>
        </is>
      </c>
      <c r="R77" s="16" t="inlineStr">
        <is>
          <t>产品、设计、前端</t>
        </is>
      </c>
      <c r="S77" s="15" t="inlineStr">
        <is>
          <t>v0.4</t>
        </is>
      </c>
      <c r="T77" s="15" t="inlineStr">
        <is>
          <t>建议排期</t>
        </is>
      </c>
      <c r="U77" s="17" t="n">
        <v>46311</v>
      </c>
      <c r="V77" s="16" t="inlineStr"/>
      <c r="W77" s="18" t="inlineStr">
        <is>
          <t>http://127.0.0.1:5173/demo/#/projects/lighting/testing/cases</t>
        </is>
      </c>
      <c r="X77" s="16" t="inlineStr">
        <is>
          <t>可从导航进入；核心信息完整；关键交互可操作；数据在相关页面间保持一致。</t>
        </is>
      </c>
      <c r="Y77" s="16" t="inlineStr">
        <is>
          <t>需确认部门共识与设计稿；仅模拟核心流程，不建设真实后端。</t>
        </is>
      </c>
      <c r="Z77" s="16" t="inlineStr">
        <is>
          <t>待评审范围与负责人。</t>
        </is>
      </c>
      <c r="AA77" s="15" t="inlineStr">
        <is>
          <t>未开始</t>
        </is>
      </c>
      <c r="AB77" s="16" t="n"/>
      <c r="AC77" s="17" t="n">
        <v>46246</v>
      </c>
    </row>
    <row r="78" ht="52" customHeight="1">
      <c r="A78" s="15" t="inlineStr">
        <is>
          <t>DEMO-074</t>
        </is>
      </c>
      <c r="B78" s="16" t="inlineStr">
        <is>
          <t>测试管理</t>
        </is>
      </c>
      <c r="C78" s="16" t="inlineStr">
        <is>
          <t>测试执行</t>
        </is>
      </c>
      <c r="D78" s="16" t="inlineStr">
        <is>
          <t>执行记录与结果</t>
        </is>
      </c>
      <c r="E78" s="16" t="inlineStr">
        <is>
          <t>新功能</t>
        </is>
      </c>
      <c r="F78" s="15" t="inlineStr">
        <is>
          <t>否</t>
        </is>
      </c>
      <c r="G78" s="16" t="inlineStr">
        <is>
          <t>Demo 模拟</t>
        </is>
      </c>
      <c r="H78" s="16" t="inlineStr">
        <is>
          <t>记录测试执行、通过率、失败原因和证据。</t>
        </is>
      </c>
      <c r="I78" s="16" t="inlineStr">
        <is>
          <t>跨部门推广规划</t>
        </is>
      </c>
      <c r="J78" s="16" t="inlineStr">
        <is>
          <t>测试、质量</t>
        </is>
      </c>
      <c r="K78" s="15" t="inlineStr">
        <is>
          <t>P1</t>
        </is>
      </c>
      <c r="L78" s="15" t="inlineStr">
        <is>
          <t>已规划</t>
        </is>
      </c>
      <c r="M78" s="15" t="inlineStr">
        <is>
          <t>L0 占位可达</t>
        </is>
      </c>
      <c r="N78" s="15" t="inlineStr">
        <is>
          <t>L3 数据联动</t>
        </is>
      </c>
      <c r="O78" s="16" t="inlineStr">
        <is>
          <t>当前导航可达，使用通用占位页面。</t>
        </is>
      </c>
      <c r="P78" s="16" t="inlineStr">
        <is>
          <t>补齐关键场景、示例数据和核心交互。</t>
        </is>
      </c>
      <c r="Q78" s="16" t="inlineStr">
        <is>
          <t>待认领</t>
        </is>
      </c>
      <c r="R78" s="16" t="inlineStr">
        <is>
          <t>产品、设计、前端</t>
        </is>
      </c>
      <c r="S78" s="15" t="inlineStr">
        <is>
          <t>v0.4</t>
        </is>
      </c>
      <c r="T78" s="15" t="inlineStr">
        <is>
          <t>建议排期</t>
        </is>
      </c>
      <c r="U78" s="17" t="n">
        <v>46311</v>
      </c>
      <c r="V78" s="16" t="inlineStr"/>
      <c r="W78" s="16" t="inlineStr"/>
      <c r="X78" s="16" t="inlineStr">
        <is>
          <t>可从导航进入；核心信息完整；关键交互可操作；数据在相关页面间保持一致。</t>
        </is>
      </c>
      <c r="Y78" s="16" t="inlineStr">
        <is>
          <t>需确认部门共识与设计稿；仅模拟核心流程，不建设真实后端。</t>
        </is>
      </c>
      <c r="Z78" s="16" t="inlineStr">
        <is>
          <t>待评审范围与负责人。</t>
        </is>
      </c>
      <c r="AA78" s="15" t="inlineStr">
        <is>
          <t>未开始</t>
        </is>
      </c>
      <c r="AB78" s="16" t="n"/>
      <c r="AC78" s="17" t="n">
        <v>46246</v>
      </c>
    </row>
    <row r="79" ht="52" customHeight="1">
      <c r="A79" s="15" t="inlineStr">
        <is>
          <t>DEMO-075</t>
        </is>
      </c>
      <c r="B79" s="16" t="inlineStr">
        <is>
          <t>测试管理</t>
        </is>
      </c>
      <c r="C79" s="16" t="inlineStr">
        <is>
          <t>测试缺陷</t>
        </is>
      </c>
      <c r="D79" s="16" t="inlineStr">
        <is>
          <t>缺陷列表、详情与回归状态</t>
        </is>
      </c>
      <c r="E79" s="16" t="inlineStr">
        <is>
          <t>新功能</t>
        </is>
      </c>
      <c r="F79" s="15" t="inlineStr">
        <is>
          <t>否</t>
        </is>
      </c>
      <c r="G79" s="16" t="inlineStr">
        <is>
          <t>Demo 模拟</t>
        </is>
      </c>
      <c r="H79" s="16" t="inlineStr">
        <is>
          <t>跟踪缺陷优先级、修复版本和回归结果。</t>
        </is>
      </c>
      <c r="I79" s="16" t="inlineStr">
        <is>
          <t>跨部门推广规划</t>
        </is>
      </c>
      <c r="J79" s="16" t="inlineStr">
        <is>
          <t>测试、研发、产品</t>
        </is>
      </c>
      <c r="K79" s="15" t="inlineStr">
        <is>
          <t>P1</t>
        </is>
      </c>
      <c r="L79" s="15" t="inlineStr">
        <is>
          <t>已规划</t>
        </is>
      </c>
      <c r="M79" s="15" t="inlineStr">
        <is>
          <t>L0 占位可达</t>
        </is>
      </c>
      <c r="N79" s="15" t="inlineStr">
        <is>
          <t>L3 数据联动</t>
        </is>
      </c>
      <c r="O79" s="16" t="inlineStr">
        <is>
          <t>当前导航可达，使用通用占位页面。</t>
        </is>
      </c>
      <c r="P79" s="16" t="inlineStr">
        <is>
          <t>补齐关键场景、示例数据和核心交互。</t>
        </is>
      </c>
      <c r="Q79" s="16" t="inlineStr">
        <is>
          <t>待认领</t>
        </is>
      </c>
      <c r="R79" s="16" t="inlineStr">
        <is>
          <t>产品、设计、前端</t>
        </is>
      </c>
      <c r="S79" s="15" t="inlineStr">
        <is>
          <t>v0.4</t>
        </is>
      </c>
      <c r="T79" s="15" t="inlineStr">
        <is>
          <t>建议排期</t>
        </is>
      </c>
      <c r="U79" s="17" t="n">
        <v>46311</v>
      </c>
      <c r="V79" s="16" t="inlineStr"/>
      <c r="W79" s="18" t="inlineStr">
        <is>
          <t>http://127.0.0.1:5173/demo/#/projects/lighting/testing/defects</t>
        </is>
      </c>
      <c r="X79" s="16" t="inlineStr">
        <is>
          <t>可从导航进入；核心信息完整；关键交互可操作；数据在相关页面间保持一致。</t>
        </is>
      </c>
      <c r="Y79" s="16" t="inlineStr">
        <is>
          <t>需确认部门共识与设计稿；仅模拟核心流程，不建设真实后端。</t>
        </is>
      </c>
      <c r="Z79" s="16" t="inlineStr">
        <is>
          <t>待评审范围与负责人。</t>
        </is>
      </c>
      <c r="AA79" s="15" t="inlineStr">
        <is>
          <t>未开始</t>
        </is>
      </c>
      <c r="AB79" s="16" t="n"/>
      <c r="AC79" s="17" t="n">
        <v>46246</v>
      </c>
    </row>
    <row r="80" ht="52" customHeight="1">
      <c r="A80" s="15" t="inlineStr">
        <is>
          <t>DEMO-076</t>
        </is>
      </c>
      <c r="B80" s="16" t="inlineStr">
        <is>
          <t>测试管理</t>
        </is>
      </c>
      <c r="C80" s="16" t="inlineStr">
        <is>
          <t>测试报告</t>
        </is>
      </c>
      <c r="D80" s="16" t="inlineStr">
        <is>
          <t>版本测试报告</t>
        </is>
      </c>
      <c r="E80" s="16" t="inlineStr">
        <is>
          <t>新功能</t>
        </is>
      </c>
      <c r="F80" s="15" t="inlineStr">
        <is>
          <t>否</t>
        </is>
      </c>
      <c r="G80" s="16" t="inlineStr">
        <is>
          <t>Demo 模拟</t>
        </is>
      </c>
      <c r="H80" s="16" t="inlineStr">
        <is>
          <t>汇总计划、执行、缺陷和风险，支持发布决策。</t>
        </is>
      </c>
      <c r="I80" s="16" t="inlineStr">
        <is>
          <t>跨部门推广规划</t>
        </is>
      </c>
      <c r="J80" s="16" t="inlineStr">
        <is>
          <t>测试、质量、项目管理</t>
        </is>
      </c>
      <c r="K80" s="15" t="inlineStr">
        <is>
          <t>P2</t>
        </is>
      </c>
      <c r="L80" s="15" t="inlineStr">
        <is>
          <t>已规划</t>
        </is>
      </c>
      <c r="M80" s="15" t="inlineStr">
        <is>
          <t>L0 占位可达</t>
        </is>
      </c>
      <c r="N80" s="15" t="inlineStr">
        <is>
          <t>L3 数据联动</t>
        </is>
      </c>
      <c r="O80" s="16" t="inlineStr">
        <is>
          <t>当前导航可达，使用通用占位页面。</t>
        </is>
      </c>
      <c r="P80" s="16" t="inlineStr">
        <is>
          <t>补齐关键场景、示例数据和核心交互。</t>
        </is>
      </c>
      <c r="Q80" s="16" t="inlineStr">
        <is>
          <t>待认领</t>
        </is>
      </c>
      <c r="R80" s="16" t="inlineStr">
        <is>
          <t>产品、设计、前端</t>
        </is>
      </c>
      <c r="S80" s="15" t="inlineStr">
        <is>
          <t>v1.0</t>
        </is>
      </c>
      <c r="T80" s="15" t="inlineStr">
        <is>
          <t>建议排期</t>
        </is>
      </c>
      <c r="U80" s="17" t="n">
        <v>46325</v>
      </c>
      <c r="V80" s="16" t="inlineStr"/>
      <c r="W80" s="16" t="inlineStr"/>
      <c r="X80" s="16" t="inlineStr">
        <is>
          <t>可从导航进入；核心信息完整；关键交互可操作；数据在相关页面间保持一致。</t>
        </is>
      </c>
      <c r="Y80" s="16" t="inlineStr">
        <is>
          <t>需确认部门共识与设计稿；仅模拟核心流程，不建设真实后端。</t>
        </is>
      </c>
      <c r="Z80" s="16" t="inlineStr">
        <is>
          <t>待评审范围与负责人。</t>
        </is>
      </c>
      <c r="AA80" s="15" t="inlineStr">
        <is>
          <t>未开始</t>
        </is>
      </c>
      <c r="AB80" s="16" t="n"/>
      <c r="AC80" s="17" t="n">
        <v>46246</v>
      </c>
    </row>
    <row r="81" ht="52" customHeight="1">
      <c r="A81" s="15" t="inlineStr">
        <is>
          <t>DEMO-077</t>
        </is>
      </c>
      <c r="B81" s="16" t="inlineStr">
        <is>
          <t>协作推广</t>
        </is>
      </c>
      <c r="C81" s="16" t="inlineStr">
        <is>
          <t>路线图</t>
        </is>
      </c>
      <c r="D81" s="16" t="inlineStr">
        <is>
          <t>全部功能路线图</t>
        </is>
      </c>
      <c r="E81" s="16" t="inlineStr">
        <is>
          <t>协作治理</t>
        </is>
      </c>
      <c r="F81" s="15" t="inlineStr">
        <is>
          <t>否</t>
        </is>
      </c>
      <c r="G81" s="16" t="inlineStr">
        <is>
          <t>Demo 模拟</t>
        </is>
      </c>
      <c r="H81" s="16" t="inlineStr">
        <is>
          <t>统一追踪现有能力、未来计划、状态、负责人、依赖和验收结果。</t>
        </is>
      </c>
      <c r="I81" s="16" t="inlineStr">
        <is>
          <t>跨部门推广规划</t>
        </is>
      </c>
      <c r="J81" s="16" t="inlineStr">
        <is>
          <t>全体部门</t>
        </is>
      </c>
      <c r="K81" s="15" t="inlineStr">
        <is>
          <t>P0</t>
        </is>
      </c>
      <c r="L81" s="15" t="inlineStr">
        <is>
          <t>已完成</t>
        </is>
      </c>
      <c r="M81" s="15" t="inlineStr">
        <is>
          <t>L2 可交互</t>
        </is>
      </c>
      <c r="N81" s="15" t="inlineStr">
        <is>
          <t>L2 可交互</t>
        </is>
      </c>
      <c r="O81" s="16" t="inlineStr">
        <is>
          <t>已生成 Excel 初版，包含主表、仪表盘、里程碑、字段说明和枚举字典。</t>
        </is>
      </c>
      <c r="P81" s="16" t="inlineStr">
        <is>
          <t>组织首次评审，确认负责人、优先级和计划版本。</t>
        </is>
      </c>
      <c r="Q81" s="16" t="inlineStr">
        <is>
          <t>Demo 运营</t>
        </is>
      </c>
      <c r="R81" s="16" t="inlineStr">
        <is>
          <t>各部门代表</t>
        </is>
      </c>
      <c r="S81" s="15" t="inlineStr">
        <is>
          <t>v0.1</t>
        </is>
      </c>
      <c r="T81" s="15" t="inlineStr">
        <is>
          <t>已确认</t>
        </is>
      </c>
      <c r="U81" s="17" t="n">
        <v>46246</v>
      </c>
      <c r="V81" s="16" t="inlineStr"/>
      <c r="W81" s="16" t="inlineStr"/>
      <c r="X81" s="16" t="inlineStr">
        <is>
          <t>路线图覆盖现有导航与规划模块；字段可筛选；状态和优先级有统一枚举；每条功能有验收标准。</t>
        </is>
      </c>
      <c r="Y81" s="16" t="inlineStr">
        <is>
          <t>负责人和排期仍需部门评审确认。</t>
        </is>
      </c>
      <c r="Z81" s="16" t="inlineStr">
        <is>
          <t>初版已生成。</t>
        </is>
      </c>
      <c r="AA81" s="15" t="inlineStr">
        <is>
          <t>通过</t>
        </is>
      </c>
      <c r="AB81" s="17" t="n">
        <v>46246</v>
      </c>
      <c r="AC81" s="17" t="n">
        <v>46246</v>
      </c>
    </row>
    <row r="82" ht="52" customHeight="1">
      <c r="A82" s="15" t="inlineStr">
        <is>
          <t>DEMO-078</t>
        </is>
      </c>
      <c r="B82" s="16" t="inlineStr">
        <is>
          <t>协作推广</t>
        </is>
      </c>
      <c r="C82" s="16" t="inlineStr">
        <is>
          <t>评审机制</t>
        </is>
      </c>
      <c r="D82" s="16" t="inlineStr">
        <is>
          <t>双周路线图评审</t>
        </is>
      </c>
      <c r="E82" s="16" t="inlineStr">
        <is>
          <t>协作治理</t>
        </is>
      </c>
      <c r="F82" s="15" t="inlineStr">
        <is>
          <t>否</t>
        </is>
      </c>
      <c r="G82" s="16" t="inlineStr">
        <is>
          <t>协作机制</t>
        </is>
      </c>
      <c r="H82" s="16" t="inlineStr">
        <is>
          <t>定期确认新增诉求、优先级、阻塞和验收结果。</t>
        </is>
      </c>
      <c r="I82" s="16" t="inlineStr">
        <is>
          <t>跨部门推广规划</t>
        </is>
      </c>
      <c r="J82" s="16" t="inlineStr">
        <is>
          <t>全体部门</t>
        </is>
      </c>
      <c r="K82" s="15" t="inlineStr">
        <is>
          <t>P0</t>
        </is>
      </c>
      <c r="L82" s="15" t="inlineStr">
        <is>
          <t>已规划</t>
        </is>
      </c>
      <c r="M82" s="15" t="inlineStr">
        <is>
          <t>L0 占位可达</t>
        </is>
      </c>
      <c r="N82" s="15" t="inlineStr">
        <is>
          <t>L2 可交互</t>
        </is>
      </c>
      <c r="O82" s="16" t="inlineStr">
        <is>
          <t>当前导航可达，使用通用占位页面。</t>
        </is>
      </c>
      <c r="P82" s="16" t="inlineStr">
        <is>
          <t>补齐关键场景、示例数据和核心交互。</t>
        </is>
      </c>
      <c r="Q82" s="16" t="inlineStr">
        <is>
          <t>Demo 运营</t>
        </is>
      </c>
      <c r="R82" s="16" t="inlineStr">
        <is>
          <t>产品、设计、研发、测试、运维、业务代表</t>
        </is>
      </c>
      <c r="S82" s="15" t="inlineStr">
        <is>
          <t>v0.2</t>
        </is>
      </c>
      <c r="T82" s="15" t="inlineStr">
        <is>
          <t>建议排期</t>
        </is>
      </c>
      <c r="U82" s="17" t="n">
        <v>46262</v>
      </c>
      <c r="V82" s="16" t="inlineStr"/>
      <c r="W82" s="16" t="inlineStr"/>
      <c r="X82" s="16" t="inlineStr">
        <is>
          <t>形成固定会议节奏；每次更新路线图状态、负责人、排期与结论；超期项有原因。</t>
        </is>
      </c>
      <c r="Y82" s="16" t="inlineStr">
        <is>
          <t>需确认部门共识与设计稿；仅模拟核心流程，不建设真实后端。</t>
        </is>
      </c>
      <c r="Z82" s="16" t="inlineStr">
        <is>
          <t>待评审范围与负责人。</t>
        </is>
      </c>
      <c r="AA82" s="15" t="inlineStr">
        <is>
          <t>未开始</t>
        </is>
      </c>
      <c r="AB82" s="16" t="n"/>
      <c r="AC82" s="17" t="n">
        <v>46246</v>
      </c>
    </row>
    <row r="83" ht="52" customHeight="1">
      <c r="A83" s="15" t="inlineStr">
        <is>
          <t>DEMO-079</t>
        </is>
      </c>
      <c r="B83" s="16" t="inlineStr">
        <is>
          <t>协作推广</t>
        </is>
      </c>
      <c r="C83" s="16" t="inlineStr">
        <is>
          <t>试点</t>
        </is>
      </c>
      <c r="D83" s="16" t="inlineStr">
        <is>
          <t>跨部门试点与反馈复盘</t>
        </is>
      </c>
      <c r="E83" s="16" t="inlineStr">
        <is>
          <t>协作治理</t>
        </is>
      </c>
      <c r="F83" s="15" t="inlineStr">
        <is>
          <t>是</t>
        </is>
      </c>
      <c r="G83" s="16" t="inlineStr">
        <is>
          <t>协作机制</t>
        </is>
      </c>
      <c r="H83" s="16" t="inlineStr">
        <is>
          <t>验证 Demo 是否能支撑需求讨论、设计评审和研发流程沟通。</t>
        </is>
      </c>
      <c r="I83" s="16" t="inlineStr">
        <is>
          <t>跨部门推广规划</t>
        </is>
      </c>
      <c r="J83" s="16" t="inlineStr">
        <is>
          <t>全体部门</t>
        </is>
      </c>
      <c r="K83" s="15" t="inlineStr">
        <is>
          <t>P0</t>
        </is>
      </c>
      <c r="L83" s="15" t="inlineStr">
        <is>
          <t>已规划</t>
        </is>
      </c>
      <c r="M83" s="15" t="inlineStr">
        <is>
          <t>L0 占位可达</t>
        </is>
      </c>
      <c r="N83" s="15" t="inlineStr">
        <is>
          <t>L4 端到端叙事</t>
        </is>
      </c>
      <c r="O83" s="16" t="inlineStr">
        <is>
          <t>当前导航可达，使用通用占位页面。</t>
        </is>
      </c>
      <c r="P83" s="16" t="inlineStr">
        <is>
          <t>补齐关键场景、示例数据和核心交互。</t>
        </is>
      </c>
      <c r="Q83" s="16" t="inlineStr">
        <is>
          <t>Demo 运营</t>
        </is>
      </c>
      <c r="R83" s="16" t="inlineStr">
        <is>
          <t>各部门代表</t>
        </is>
      </c>
      <c r="S83" s="15" t="inlineStr">
        <is>
          <t>v1.0</t>
        </is>
      </c>
      <c r="T83" s="15" t="inlineStr">
        <is>
          <t>建议排期</t>
        </is>
      </c>
      <c r="U83" s="17" t="n">
        <v>46325</v>
      </c>
      <c r="V83" s="16" t="inlineStr"/>
      <c r="W83" s="16" t="inlineStr"/>
      <c r="X83" s="16" t="inlineStr">
        <is>
          <t>至少完成 3 个部门试点；收集任务完成率、关键问题和满意度；形成下一版改进清单。</t>
        </is>
      </c>
      <c r="Y83" s="16" t="inlineStr">
        <is>
          <t>需确认部门共识与设计稿；仅模拟核心流程，不建设真实后端。</t>
        </is>
      </c>
      <c r="Z83" s="16" t="inlineStr">
        <is>
          <t>待评审范围与负责人。</t>
        </is>
      </c>
      <c r="AA83" s="15" t="inlineStr">
        <is>
          <t>未开始</t>
        </is>
      </c>
      <c r="AB83" s="16" t="n"/>
      <c r="AC83" s="17" t="n">
        <v>46246</v>
      </c>
    </row>
    <row r="84" ht="52" customHeight="1">
      <c r="A84" s="15" t="inlineStr">
        <is>
          <t>DEMO-080</t>
        </is>
      </c>
      <c r="B84" s="16" t="inlineStr">
        <is>
          <t>协作推广</t>
        </is>
      </c>
      <c r="C84" s="16" t="inlineStr">
        <is>
          <t>数据标准</t>
        </is>
      </c>
      <c r="D84" s="16" t="inlineStr">
        <is>
          <t>示例数据命名与一致性规范</t>
        </is>
      </c>
      <c r="E84" s="16" t="inlineStr">
        <is>
          <t>数据完善</t>
        </is>
      </c>
      <c r="F84" s="15" t="inlineStr">
        <is>
          <t>否</t>
        </is>
      </c>
      <c r="G84" s="16" t="inlineStr">
        <is>
          <t>数据规范</t>
        </is>
      </c>
      <c r="H84" s="16" t="inlineStr">
        <is>
          <t>避免新增页面出现时间、人员、编号和对象关系互相矛盾。</t>
        </is>
      </c>
      <c r="I84" s="16" t="inlineStr">
        <is>
          <t>跨部门推广规划</t>
        </is>
      </c>
      <c r="J84" s="16" t="inlineStr">
        <is>
          <t>产品、设计、研发</t>
        </is>
      </c>
      <c r="K84" s="15" t="inlineStr">
        <is>
          <t>P0</t>
        </is>
      </c>
      <c r="L84" s="15" t="inlineStr">
        <is>
          <t>已规划</t>
        </is>
      </c>
      <c r="M84" s="15" t="inlineStr">
        <is>
          <t>L0 占位可达</t>
        </is>
      </c>
      <c r="N84" s="15" t="inlineStr">
        <is>
          <t>L3 数据联动</t>
        </is>
      </c>
      <c r="O84" s="16" t="inlineStr">
        <is>
          <t>当前导航可达，使用通用占位页面。</t>
        </is>
      </c>
      <c r="P84" s="16" t="inlineStr">
        <is>
          <t>补齐关键场景、示例数据和核心交互。</t>
        </is>
      </c>
      <c r="Q84" s="16" t="inlineStr">
        <is>
          <t>Demo 小组</t>
        </is>
      </c>
      <c r="R84" s="16" t="inlineStr">
        <is>
          <t>产品、设计、前端</t>
        </is>
      </c>
      <c r="S84" s="15" t="inlineStr">
        <is>
          <t>v0.2</t>
        </is>
      </c>
      <c r="T84" s="15" t="inlineStr">
        <is>
          <t>建议排期</t>
        </is>
      </c>
      <c r="U84" s="17" t="n">
        <v>46262</v>
      </c>
      <c r="V84" s="16" t="inlineStr"/>
      <c r="W84" s="16" t="inlineStr"/>
      <c r="X84" s="16" t="inlineStr">
        <is>
          <t>定义人员、项目、仓库、需求、流水线、制品、部署和测试对象的唯一编号与关联规则。</t>
        </is>
      </c>
      <c r="Y84" s="16" t="inlineStr">
        <is>
          <t>需确认部门共识与设计稿；仅模拟核心流程，不建设真实后端。</t>
        </is>
      </c>
      <c r="Z84" s="16" t="inlineStr">
        <is>
          <t>待评审范围与负责人。</t>
        </is>
      </c>
      <c r="AA84" s="15" t="inlineStr">
        <is>
          <t>未开始</t>
        </is>
      </c>
      <c r="AB84" s="16" t="n"/>
      <c r="AC84" s="17" t="n">
        <v>46246</v>
      </c>
    </row>
  </sheetData>
  <autoFilter ref="A4:AC84"/>
  <mergeCells count="2">
    <mergeCell ref="A2:AC2"/>
    <mergeCell ref="A1:AC1"/>
  </mergeCells>
  <conditionalFormatting sqref="L5:L84">
    <cfRule type="expression" priority="1" dxfId="0">
      <formula>$L5="已完成"</formula>
    </cfRule>
    <cfRule type="expression" priority="2" dxfId="1">
      <formula>$L5="待验收"</formula>
    </cfRule>
    <cfRule type="expression" priority="3" dxfId="1">
      <formula>$L5="开发中"</formula>
    </cfRule>
    <cfRule type="expression" priority="4" dxfId="2">
      <formula>$L5="设计中"</formula>
    </cfRule>
    <cfRule type="expression" priority="5" dxfId="3">
      <formula>$L5="已规划"</formula>
    </cfRule>
    <cfRule type="expression" priority="6" dxfId="4">
      <formula>$L5="待评估"</formula>
    </cfRule>
    <cfRule type="expression" priority="7" dxfId="5">
      <formula>$L5="已暂停"</formula>
    </cfRule>
    <cfRule type="expression" priority="8" dxfId="6">
      <formula>$L5="不采纳"</formula>
    </cfRule>
  </conditionalFormatting>
  <conditionalFormatting sqref="K5:K84">
    <cfRule type="expression" priority="9" dxfId="7">
      <formula>$K5="P0"</formula>
    </cfRule>
    <cfRule type="expression" priority="10" dxfId="8">
      <formula>$K5="P1"</formula>
    </cfRule>
    <cfRule type="expression" priority="11" dxfId="9">
      <formula>$K5="P2"</formula>
    </cfRule>
    <cfRule type="expression" priority="12" dxfId="10">
      <formula>$K5="P3"</formula>
    </cfRule>
  </conditionalFormatting>
  <dataValidations count="9">
    <dataValidation sqref="E5:E500" showDropDown="0" showInputMessage="0" showErrorMessage="0" allowBlank="0" errorTitle="无效选项" error="请选择枚举字典中的值" type="list">
      <formula1>'枚举字典'!$C$2:$C$8</formula1>
    </dataValidation>
    <dataValidation sqref="F5:F500" showDropDown="0" showInputMessage="0" showErrorMessage="0" allowBlank="0" errorTitle="无效选项" error="请选择枚举字典中的值" type="list">
      <formula1>'枚举字典'!$D$2:$D$3</formula1>
    </dataValidation>
    <dataValidation sqref="G5:G500" showDropDown="0" showInputMessage="0" showErrorMessage="0" allowBlank="0" errorTitle="无效选项" error="请选择枚举字典中的值" type="list">
      <formula1>'枚举字典'!$E$2:$E$8</formula1>
    </dataValidation>
    <dataValidation sqref="K5:K500" showDropDown="0" showInputMessage="0" showErrorMessage="0" allowBlank="0" errorTitle="无效选项" error="请选择枚举字典中的值" type="list">
      <formula1>'枚举字典'!$B$2:$B$5</formula1>
    </dataValidation>
    <dataValidation sqref="L5:L500" showDropDown="0" showInputMessage="0" showErrorMessage="0" allowBlank="0" errorTitle="无效选项" error="请选择枚举字典中的值" type="list">
      <formula1>'枚举字典'!$A$2:$A$9</formula1>
    </dataValidation>
    <dataValidation sqref="M5:M500" showDropDown="0" showInputMessage="0" showErrorMessage="0" allowBlank="0" errorTitle="无效选项" error="请选择枚举字典中的值" type="list">
      <formula1>'枚举字典'!$F$2:$F$6</formula1>
    </dataValidation>
    <dataValidation sqref="N5:N500" showDropDown="0" showInputMessage="0" showErrorMessage="0" allowBlank="0" errorTitle="无效选项" error="请选择枚举字典中的值" type="list">
      <formula1>'枚举字典'!$F$2:$F$6</formula1>
    </dataValidation>
    <dataValidation sqref="T5:T500" showDropDown="0" showInputMessage="0" showErrorMessage="0" allowBlank="0" errorTitle="无效选项" error="请选择枚举字典中的值" type="list">
      <formula1>'枚举字典'!$G$2:$G$5</formula1>
    </dataValidation>
    <dataValidation sqref="AA5:AA500" showDropDown="0" showInputMessage="0" showErrorMessage="0" allowBlank="0" errorTitle="无效选项" error="请选择枚举字典中的值" type="list">
      <formula1>'枚举字典'!$H$2:$H$6</formula1>
    </dataValidation>
  </dataValidations>
  <hyperlinks>
    <hyperlink xmlns:r="http://schemas.openxmlformats.org/officeDocument/2006/relationships" ref="W5" r:id="rId1"/>
    <hyperlink xmlns:r="http://schemas.openxmlformats.org/officeDocument/2006/relationships" ref="W6" r:id="rId2"/>
    <hyperlink xmlns:r="http://schemas.openxmlformats.org/officeDocument/2006/relationships" ref="W7" r:id="rId3"/>
    <hyperlink xmlns:r="http://schemas.openxmlformats.org/officeDocument/2006/relationships" ref="W8" r:id="rId4"/>
    <hyperlink xmlns:r="http://schemas.openxmlformats.org/officeDocument/2006/relationships" ref="W9" r:id="rId5"/>
    <hyperlink xmlns:r="http://schemas.openxmlformats.org/officeDocument/2006/relationships" ref="W11" r:id="rId6"/>
    <hyperlink xmlns:r="http://schemas.openxmlformats.org/officeDocument/2006/relationships" ref="W13" r:id="rId7"/>
    <hyperlink xmlns:r="http://schemas.openxmlformats.org/officeDocument/2006/relationships" ref="W17" r:id="rId8"/>
    <hyperlink xmlns:r="http://schemas.openxmlformats.org/officeDocument/2006/relationships" ref="W18" r:id="rId9"/>
    <hyperlink xmlns:r="http://schemas.openxmlformats.org/officeDocument/2006/relationships" ref="W21" r:id="rId10"/>
    <hyperlink xmlns:r="http://schemas.openxmlformats.org/officeDocument/2006/relationships" ref="W24" r:id="rId11"/>
    <hyperlink xmlns:r="http://schemas.openxmlformats.org/officeDocument/2006/relationships" ref="W25" r:id="rId12"/>
    <hyperlink xmlns:r="http://schemas.openxmlformats.org/officeDocument/2006/relationships" ref="W26" r:id="rId13"/>
    <hyperlink xmlns:r="http://schemas.openxmlformats.org/officeDocument/2006/relationships" ref="W27" r:id="rId14"/>
    <hyperlink xmlns:r="http://schemas.openxmlformats.org/officeDocument/2006/relationships" ref="W28" r:id="rId15"/>
    <hyperlink xmlns:r="http://schemas.openxmlformats.org/officeDocument/2006/relationships" ref="W29" r:id="rId16"/>
    <hyperlink xmlns:r="http://schemas.openxmlformats.org/officeDocument/2006/relationships" ref="V30" r:id="rId17"/>
    <hyperlink xmlns:r="http://schemas.openxmlformats.org/officeDocument/2006/relationships" ref="W30" r:id="rId18"/>
    <hyperlink xmlns:r="http://schemas.openxmlformats.org/officeDocument/2006/relationships" ref="V31" r:id="rId19"/>
    <hyperlink xmlns:r="http://schemas.openxmlformats.org/officeDocument/2006/relationships" ref="W31" r:id="rId20"/>
    <hyperlink xmlns:r="http://schemas.openxmlformats.org/officeDocument/2006/relationships" ref="W32" r:id="rId21"/>
    <hyperlink xmlns:r="http://schemas.openxmlformats.org/officeDocument/2006/relationships" ref="V33" r:id="rId22"/>
    <hyperlink xmlns:r="http://schemas.openxmlformats.org/officeDocument/2006/relationships" ref="W33" r:id="rId23"/>
    <hyperlink xmlns:r="http://schemas.openxmlformats.org/officeDocument/2006/relationships" ref="V34" r:id="rId24"/>
    <hyperlink xmlns:r="http://schemas.openxmlformats.org/officeDocument/2006/relationships" ref="W34" r:id="rId25"/>
    <hyperlink xmlns:r="http://schemas.openxmlformats.org/officeDocument/2006/relationships" ref="V38" r:id="rId26"/>
    <hyperlink xmlns:r="http://schemas.openxmlformats.org/officeDocument/2006/relationships" ref="W38" r:id="rId27"/>
    <hyperlink xmlns:r="http://schemas.openxmlformats.org/officeDocument/2006/relationships" ref="V39" r:id="rId28"/>
    <hyperlink xmlns:r="http://schemas.openxmlformats.org/officeDocument/2006/relationships" ref="V40" r:id="rId29"/>
    <hyperlink xmlns:r="http://schemas.openxmlformats.org/officeDocument/2006/relationships" ref="W40" r:id="rId30"/>
    <hyperlink xmlns:r="http://schemas.openxmlformats.org/officeDocument/2006/relationships" ref="V41" r:id="rId31"/>
    <hyperlink xmlns:r="http://schemas.openxmlformats.org/officeDocument/2006/relationships" ref="W41" r:id="rId32"/>
    <hyperlink xmlns:r="http://schemas.openxmlformats.org/officeDocument/2006/relationships" ref="W42" r:id="rId33"/>
    <hyperlink xmlns:r="http://schemas.openxmlformats.org/officeDocument/2006/relationships" ref="V43" r:id="rId34"/>
    <hyperlink xmlns:r="http://schemas.openxmlformats.org/officeDocument/2006/relationships" ref="W43" r:id="rId35"/>
    <hyperlink xmlns:r="http://schemas.openxmlformats.org/officeDocument/2006/relationships" ref="V44" r:id="rId36"/>
    <hyperlink xmlns:r="http://schemas.openxmlformats.org/officeDocument/2006/relationships" ref="W44" r:id="rId37"/>
    <hyperlink xmlns:r="http://schemas.openxmlformats.org/officeDocument/2006/relationships" ref="V45" r:id="rId38"/>
    <hyperlink xmlns:r="http://schemas.openxmlformats.org/officeDocument/2006/relationships" ref="W45" r:id="rId39"/>
    <hyperlink xmlns:r="http://schemas.openxmlformats.org/officeDocument/2006/relationships" ref="V46" r:id="rId40"/>
    <hyperlink xmlns:r="http://schemas.openxmlformats.org/officeDocument/2006/relationships" ref="W52" r:id="rId41"/>
    <hyperlink xmlns:r="http://schemas.openxmlformats.org/officeDocument/2006/relationships" ref="W53" r:id="rId42"/>
    <hyperlink xmlns:r="http://schemas.openxmlformats.org/officeDocument/2006/relationships" ref="W54" r:id="rId43"/>
    <hyperlink xmlns:r="http://schemas.openxmlformats.org/officeDocument/2006/relationships" ref="W58" r:id="rId44"/>
    <hyperlink xmlns:r="http://schemas.openxmlformats.org/officeDocument/2006/relationships" ref="W63" r:id="rId45"/>
    <hyperlink xmlns:r="http://schemas.openxmlformats.org/officeDocument/2006/relationships" ref="W65" r:id="rId46"/>
    <hyperlink xmlns:r="http://schemas.openxmlformats.org/officeDocument/2006/relationships" ref="W68" r:id="rId47"/>
    <hyperlink xmlns:r="http://schemas.openxmlformats.org/officeDocument/2006/relationships" ref="W69" r:id="rId48"/>
    <hyperlink xmlns:r="http://schemas.openxmlformats.org/officeDocument/2006/relationships" ref="W70" r:id="rId49"/>
    <hyperlink xmlns:r="http://schemas.openxmlformats.org/officeDocument/2006/relationships" ref="W74" r:id="rId50"/>
    <hyperlink xmlns:r="http://schemas.openxmlformats.org/officeDocument/2006/relationships" ref="W76" r:id="rId51"/>
    <hyperlink xmlns:r="http://schemas.openxmlformats.org/officeDocument/2006/relationships" ref="W77" r:id="rId52"/>
    <hyperlink xmlns:r="http://schemas.openxmlformats.org/officeDocument/2006/relationships" ref="W79" r:id="rId53"/>
  </hyperlinks>
  <pageMargins left="0.75" right="0.75" top="1" bottom="1" header="0.5" footer="0.5"/>
  <tableParts count="1">
    <tablePart xmlns:r="http://schemas.openxmlformats.org/officeDocument/2006/relationships" r:id="rId5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9" t="inlineStr">
        <is>
          <t>状态</t>
        </is>
      </c>
      <c r="B1" s="19" t="inlineStr">
        <is>
          <t>优先级</t>
        </is>
      </c>
      <c r="C1" s="19" t="inlineStr">
        <is>
          <t>类型</t>
        </is>
      </c>
      <c r="D1" s="19" t="inlineStr">
        <is>
          <t>核心演示路径</t>
        </is>
      </c>
      <c r="E1" s="19" t="inlineStr">
        <is>
          <t>实现边界</t>
        </is>
      </c>
      <c r="F1" s="19" t="inlineStr">
        <is>
          <t>成熟度</t>
        </is>
      </c>
      <c r="G1" s="19" t="inlineStr">
        <is>
          <t>排期状态</t>
        </is>
      </c>
      <c r="H1" s="19" t="inlineStr">
        <is>
          <t>验收结果</t>
        </is>
      </c>
    </row>
    <row r="2">
      <c r="A2" t="inlineStr">
        <is>
          <t>待评估</t>
        </is>
      </c>
      <c r="B2" t="inlineStr">
        <is>
          <t>P0</t>
        </is>
      </c>
      <c r="C2" t="inlineStr">
        <is>
          <t>现有能力</t>
        </is>
      </c>
      <c r="D2" t="inlineStr">
        <is>
          <t>是</t>
        </is>
      </c>
      <c r="E2" t="inlineStr">
        <is>
          <t>静态展示</t>
        </is>
      </c>
      <c r="F2" t="inlineStr">
        <is>
          <t>L0 占位可达</t>
        </is>
      </c>
      <c r="G2" t="inlineStr">
        <is>
          <t>已确认</t>
        </is>
      </c>
      <c r="H2" t="inlineStr">
        <is>
          <t>未开始</t>
        </is>
      </c>
    </row>
    <row r="3">
      <c r="A3" t="inlineStr">
        <is>
          <t>已规划</t>
        </is>
      </c>
      <c r="B3" t="inlineStr">
        <is>
          <t>P1</t>
        </is>
      </c>
      <c r="C3" t="inlineStr">
        <is>
          <t>新功能</t>
        </is>
      </c>
      <c r="D3" t="inlineStr">
        <is>
          <t>否</t>
        </is>
      </c>
      <c r="E3" t="inlineStr">
        <is>
          <t>UI 交互</t>
        </is>
      </c>
      <c r="F3" t="inlineStr">
        <is>
          <t>L1 静态展示</t>
        </is>
      </c>
      <c r="G3" t="inlineStr">
        <is>
          <t>建议排期</t>
        </is>
      </c>
      <c r="H3" t="inlineStr">
        <is>
          <t>待验收</t>
        </is>
      </c>
    </row>
    <row r="4">
      <c r="A4" t="inlineStr">
        <is>
          <t>设计中</t>
        </is>
      </c>
      <c r="B4" t="inlineStr">
        <is>
          <t>P2</t>
        </is>
      </c>
      <c r="C4" t="inlineStr">
        <is>
          <t>体验优化</t>
        </is>
      </c>
      <c r="E4" t="inlineStr">
        <is>
          <t>UI 交互 + 本地状态</t>
        </is>
      </c>
      <c r="F4" t="inlineStr">
        <is>
          <t>L2 可交互</t>
        </is>
      </c>
      <c r="G4" t="inlineStr">
        <is>
          <t>待排期</t>
        </is>
      </c>
      <c r="H4" t="inlineStr">
        <is>
          <t>通过</t>
        </is>
      </c>
    </row>
    <row r="5">
      <c r="A5" t="inlineStr">
        <is>
          <t>开发中</t>
        </is>
      </c>
      <c r="B5" t="inlineStr">
        <is>
          <t>P3</t>
        </is>
      </c>
      <c r="C5" t="inlineStr">
        <is>
          <t>数据完善</t>
        </is>
      </c>
      <c r="E5" t="inlineStr">
        <is>
          <t>UI 交互 + 数据联动</t>
        </is>
      </c>
      <c r="F5" t="inlineStr">
        <is>
          <t>L3 数据联动</t>
        </is>
      </c>
      <c r="G5" t="inlineStr">
        <is>
          <t>不排期</t>
        </is>
      </c>
      <c r="H5" t="inlineStr">
        <is>
          <t>需修改</t>
        </is>
      </c>
    </row>
    <row r="6">
      <c r="A6" t="inlineStr">
        <is>
          <t>待验收</t>
        </is>
      </c>
      <c r="C6" t="inlineStr">
        <is>
          <t>内容补充</t>
        </is>
      </c>
      <c r="E6" t="inlineStr">
        <is>
          <t>Demo 模拟</t>
        </is>
      </c>
      <c r="F6" t="inlineStr">
        <is>
          <t>L4 端到端叙事</t>
        </is>
      </c>
      <c r="H6" t="inlineStr">
        <is>
          <t>不适用</t>
        </is>
      </c>
    </row>
    <row r="7">
      <c r="A7" t="inlineStr">
        <is>
          <t>已完成</t>
        </is>
      </c>
      <c r="C7" t="inlineStr">
        <is>
          <t>Bug</t>
        </is>
      </c>
      <c r="E7" t="inlineStr">
        <is>
          <t>协作机制</t>
        </is>
      </c>
    </row>
    <row r="8">
      <c r="A8" t="inlineStr">
        <is>
          <t>已暂停</t>
        </is>
      </c>
      <c r="C8" t="inlineStr">
        <is>
          <t>协作治理</t>
        </is>
      </c>
      <c r="E8" t="inlineStr">
        <is>
          <t>数据规范</t>
        </is>
      </c>
    </row>
    <row r="9">
      <c r="A9" t="inlineStr">
        <is>
          <t>不采纳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4" customWidth="1" min="4" max="4"/>
    <col width="62" customWidth="1" min="5" max="5"/>
    <col width="48" customWidth="1" min="6" max="6"/>
  </cols>
  <sheetData>
    <row r="1" ht="34" customHeight="1">
      <c r="A1" s="1" t="inlineStr">
        <is>
          <t>Vision Demo 建议里程碑</t>
        </is>
      </c>
    </row>
    <row r="2" ht="30" customHeight="1">
      <c r="A2" s="2" t="inlineStr">
        <is>
          <t>v0.2 及以后日期为初版建议，需要在路线图评审中确认。</t>
        </is>
      </c>
    </row>
    <row r="4">
      <c r="A4" s="11" t="inlineStr">
        <is>
          <t>版本</t>
        </is>
      </c>
      <c r="B4" s="11" t="inlineStr">
        <is>
          <t>主题</t>
        </is>
      </c>
      <c r="C4" s="11" t="inlineStr">
        <is>
          <t>建议完成时间</t>
        </is>
      </c>
      <c r="D4" s="11" t="inlineStr">
        <is>
          <t>排期状态</t>
        </is>
      </c>
      <c r="E4" s="11" t="inlineStr">
        <is>
          <t>主要范围</t>
        </is>
      </c>
      <c r="F4" s="11" t="inlineStr">
        <is>
          <t>里程碑验收目标</t>
        </is>
      </c>
    </row>
    <row r="5" ht="62" customHeight="1">
      <c r="A5" s="20" t="inlineStr">
        <is>
          <t>v0.1</t>
        </is>
      </c>
      <c r="B5" s="20" t="inlineStr">
        <is>
          <t>仓库场景基线</t>
        </is>
      </c>
      <c r="C5" s="21" t="n">
        <v>46246</v>
      </c>
      <c r="D5" s="20" t="inlineStr">
        <is>
          <t>已完成</t>
        </is>
      </c>
      <c r="E5" s="20" t="inlineStr">
        <is>
          <t>项目壳层、统一仓库数据、文件浏览、追溯、历史、提交、分支、标签、合并请求列表、应用管理基础。</t>
        </is>
      </c>
      <c r="F5" s="20" t="inlineStr">
        <is>
          <t>形成可用于内部评审的代码仓库主路径。</t>
        </is>
      </c>
    </row>
    <row r="6" ht="62" customHeight="1">
      <c r="A6" s="20" t="inlineStr">
        <is>
          <t>v0.2</t>
        </is>
      </c>
      <c r="B6" s="20" t="inlineStr">
        <is>
          <t>仓库评审闭环</t>
        </is>
      </c>
      <c r="C6" s="21" t="n">
        <v>46262</v>
      </c>
      <c r="D6" s="20" t="inlineStr">
        <is>
          <t>建议排期</t>
        </is>
      </c>
      <c r="E6" s="20" t="inlineStr">
        <is>
          <t>提交详情、文件 diff、合并请求详情、协作反馈、使用指南、数据标准。</t>
        </is>
      </c>
      <c r="F6" s="20" t="inlineStr">
        <is>
          <t>仓库从浏览扩展到变更评审闭环。</t>
        </is>
      </c>
    </row>
    <row r="7" ht="62" customHeight="1">
      <c r="A7" s="20" t="inlineStr">
        <is>
          <t>v0.3</t>
        </is>
      </c>
      <c r="B7" s="20" t="inlineStr">
        <is>
          <t>研发协同链路</t>
        </is>
      </c>
      <c r="C7" s="21" t="n">
        <v>46283</v>
      </c>
      <c r="D7" s="20" t="inlineStr">
        <is>
          <t>建议排期</t>
        </is>
      </c>
      <c r="E7" s="20" t="inlineStr">
        <is>
          <t>需求列表与详情、代码质量、流水线列表与运行详情、新建合并请求。</t>
        </is>
      </c>
      <c r="F7" s="20" t="inlineStr">
        <is>
          <t>打通需求—代码—构建的核心叙事。</t>
        </is>
      </c>
    </row>
    <row r="8" ht="62" customHeight="1">
      <c r="A8" s="20" t="inlineStr">
        <is>
          <t>v0.4</t>
        </is>
      </c>
      <c r="B8" s="20" t="inlineStr">
        <is>
          <t>交付与验证链路</t>
        </is>
      </c>
      <c r="C8" s="21" t="n">
        <v>46311</v>
      </c>
      <c r="D8" s="20" t="inlineStr">
        <is>
          <t>建议排期</t>
        </is>
      </c>
      <c r="E8" s="20" t="inlineStr">
        <is>
          <t>制品、部署编排、环境、测试计划、用例、缺陷与发布历史。</t>
        </is>
      </c>
      <c r="F8" s="20" t="inlineStr">
        <is>
          <t>打通构建—制品—部署—测试。</t>
        </is>
      </c>
    </row>
    <row r="9" ht="62" customHeight="1">
      <c r="A9" s="20" t="inlineStr">
        <is>
          <t>v1.0</t>
        </is>
      </c>
      <c r="B9" s="20" t="inlineStr">
        <is>
          <t>跨部门试点版</t>
        </is>
      </c>
      <c r="C9" s="21" t="n">
        <v>46325</v>
      </c>
      <c r="D9" s="20" t="inlineStr">
        <is>
          <t>建议排期</t>
        </is>
      </c>
      <c r="E9" s="20" t="inlineStr">
        <is>
          <t>端到端追溯、关键统计、治理能力、试点反馈闭环。</t>
        </is>
      </c>
      <c r="F9" s="20" t="inlineStr">
        <is>
          <t>支持多个部门围绕同一 Demo 独立沟通协作。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80" customWidth="1" min="3" max="3"/>
    <col width="16" customWidth="1" min="4" max="4"/>
  </cols>
  <sheetData>
    <row r="1" ht="34" customHeight="1">
      <c r="A1" s="1" t="inlineStr">
        <is>
          <t>路线图字段说明</t>
        </is>
      </c>
    </row>
    <row r="2" ht="30" customHeight="1">
      <c r="A2" s="2" t="inlineStr">
        <is>
          <t>字段以跨部门可理解、可筛选、可验收为原则。</t>
        </is>
      </c>
    </row>
    <row r="4">
      <c r="A4" s="11" t="inlineStr">
        <is>
          <t>字段</t>
        </is>
      </c>
      <c r="B4" s="11" t="inlineStr">
        <is>
          <t>建议类型</t>
        </is>
      </c>
      <c r="C4" s="11" t="inlineStr">
        <is>
          <t>填写说明</t>
        </is>
      </c>
      <c r="D4" s="11" t="inlineStr">
        <is>
          <t>要求</t>
        </is>
      </c>
    </row>
    <row r="5" ht="44" customHeight="1">
      <c r="A5" s="22" t="inlineStr">
        <is>
          <t>功能编号</t>
        </is>
      </c>
      <c r="B5" s="22" t="inlineStr">
        <is>
          <t>自动编号</t>
        </is>
      </c>
      <c r="C5" s="22" t="inlineStr">
        <is>
          <t>稳定引用功能条目，会议和反馈中优先使用编号。</t>
        </is>
      </c>
      <c r="D5" s="22" t="inlineStr">
        <is>
          <t>必填</t>
        </is>
      </c>
    </row>
    <row r="6" ht="44" customHeight="1">
      <c r="A6" s="22" t="inlineStr">
        <is>
          <t>一级模块</t>
        </is>
      </c>
      <c r="B6" s="22" t="inlineStr">
        <is>
          <t>单选</t>
        </is>
      </c>
      <c r="C6" s="22" t="inlineStr">
        <is>
          <t>项目级能力域，如代码仓库、流水线、部署管理。</t>
        </is>
      </c>
      <c r="D6" s="22" t="inlineStr">
        <is>
          <t>必填</t>
        </is>
      </c>
    </row>
    <row r="7" ht="44" customHeight="1">
      <c r="A7" s="22" t="inlineStr">
        <is>
          <t>二级模块</t>
        </is>
      </c>
      <c r="B7" s="22" t="inlineStr">
        <is>
          <t>单选／文本</t>
        </is>
      </c>
      <c r="C7" s="22" t="inlineStr">
        <is>
          <t>一级模块下的功能分区。</t>
        </is>
      </c>
      <c r="D7" s="22" t="inlineStr">
        <is>
          <t>必填</t>
        </is>
      </c>
    </row>
    <row r="8" ht="44" customHeight="1">
      <c r="A8" s="22" t="inlineStr">
        <is>
          <t>功能名称</t>
        </is>
      </c>
      <c r="B8" s="22" t="inlineStr">
        <is>
          <t>单行文本</t>
        </is>
      </c>
      <c r="C8" s="22" t="inlineStr">
        <is>
          <t>使用动宾结构，描述明确可验收的能力。</t>
        </is>
      </c>
      <c r="D8" s="22" t="inlineStr">
        <is>
          <t>必填</t>
        </is>
      </c>
    </row>
    <row r="9" ht="44" customHeight="1">
      <c r="A9" s="22" t="inlineStr">
        <is>
          <t>类型</t>
        </is>
      </c>
      <c r="B9" s="22" t="inlineStr">
        <is>
          <t>单选</t>
        </is>
      </c>
      <c r="C9" s="22" t="inlineStr">
        <is>
          <t>区分现有能力、新功能、体验优化、数据完善等。</t>
        </is>
      </c>
      <c r="D9" s="22" t="inlineStr">
        <is>
          <t>必填</t>
        </is>
      </c>
    </row>
    <row r="10" ht="44" customHeight="1">
      <c r="A10" s="22" t="inlineStr">
        <is>
          <t>核心演示路径</t>
        </is>
      </c>
      <c r="B10" s="22" t="inlineStr">
        <is>
          <t>是／否</t>
        </is>
      </c>
      <c r="C10" s="22" t="inlineStr">
        <is>
          <t>是否属于跨部门演示必须打通的主路径。</t>
        </is>
      </c>
      <c r="D10" s="22" t="inlineStr">
        <is>
          <t>必填</t>
        </is>
      </c>
    </row>
    <row r="11" ht="44" customHeight="1">
      <c r="A11" s="22" t="inlineStr">
        <is>
          <t>实现边界</t>
        </is>
      </c>
      <c r="B11" s="22" t="inlineStr">
        <is>
          <t>单选</t>
        </is>
      </c>
      <c r="C11" s="22" t="inlineStr">
        <is>
          <t>明确仅做静态、交互、数据联动或协作机制，防止演变成真实后台项目。</t>
        </is>
      </c>
      <c r="D11" s="22" t="inlineStr">
        <is>
          <t>必填</t>
        </is>
      </c>
    </row>
    <row r="12" ht="44" customHeight="1">
      <c r="A12" s="22" t="inlineStr">
        <is>
          <t>使用场景与价值</t>
        </is>
      </c>
      <c r="B12" s="22" t="inlineStr">
        <is>
          <t>多行文本</t>
        </is>
      </c>
      <c r="C12" s="22" t="inlineStr">
        <is>
          <t>解释该功能帮助谁完成什么沟通任务。</t>
        </is>
      </c>
      <c r="D12" s="22" t="inlineStr">
        <is>
          <t>必填</t>
        </is>
      </c>
    </row>
    <row r="13" ht="44" customHeight="1">
      <c r="A13" s="22" t="inlineStr">
        <is>
          <t>需求来源</t>
        </is>
      </c>
      <c r="B13" s="22" t="inlineStr">
        <is>
          <t>文本</t>
        </is>
      </c>
      <c r="C13" s="22" t="inlineStr">
        <is>
          <t>记录设计稿、现有实现、部门诉求或路线图规划。</t>
        </is>
      </c>
      <c r="D13" s="22" t="inlineStr">
        <is>
          <t>建议</t>
        </is>
      </c>
    </row>
    <row r="14" ht="44" customHeight="1">
      <c r="A14" s="22" t="inlineStr">
        <is>
          <t>需求部门</t>
        </is>
      </c>
      <c r="B14" s="22" t="inlineStr">
        <is>
          <t>多选文本</t>
        </is>
      </c>
      <c r="C14" s="22" t="inlineStr">
        <is>
          <t>标识关注和受益部门，用中文顿号分隔。</t>
        </is>
      </c>
      <c r="D14" s="22" t="inlineStr">
        <is>
          <t>建议</t>
        </is>
      </c>
    </row>
    <row r="15" ht="44" customHeight="1">
      <c r="A15" s="22" t="inlineStr">
        <is>
          <t>优先级</t>
        </is>
      </c>
      <c r="B15" s="22" t="inlineStr">
        <is>
          <t>单选</t>
        </is>
      </c>
      <c r="C15" s="22" t="inlineStr">
        <is>
          <t>P0 主路径阻塞；P1 高价值；P2 增强；P3 可延后。</t>
        </is>
      </c>
      <c r="D15" s="22" t="inlineStr">
        <is>
          <t>必填</t>
        </is>
      </c>
    </row>
    <row r="16" ht="44" customHeight="1">
      <c r="A16" s="22" t="inlineStr">
        <is>
          <t>状态</t>
        </is>
      </c>
      <c r="B16" s="22" t="inlineStr">
        <is>
          <t>单选</t>
        </is>
      </c>
      <c r="C16" s="22" t="inlineStr">
        <is>
          <t>统一生命周期：待评估→已规划→设计中→开发中→待验收→已完成。</t>
        </is>
      </c>
      <c r="D16" s="22" t="inlineStr">
        <is>
          <t>必填</t>
        </is>
      </c>
    </row>
    <row r="17" ht="44" customHeight="1">
      <c r="A17" s="22" t="inlineStr">
        <is>
          <t>当前成熟度</t>
        </is>
      </c>
      <c r="B17" s="22" t="inlineStr">
        <is>
          <t>单选</t>
        </is>
      </c>
      <c r="C17" s="22" t="inlineStr">
        <is>
          <t>L0 占位；L1 静态；L2 交互；L3 数据联动；L4 端到端叙事。</t>
        </is>
      </c>
      <c r="D17" s="22" t="inlineStr">
        <is>
          <t>必填</t>
        </is>
      </c>
    </row>
    <row r="18" ht="44" customHeight="1">
      <c r="A18" s="22" t="inlineStr">
        <is>
          <t>目标成熟度</t>
        </is>
      </c>
      <c r="B18" s="22" t="inlineStr">
        <is>
          <t>单选</t>
        </is>
      </c>
      <c r="C18" s="22" t="inlineStr">
        <is>
          <t>本次路线图承诺达到的演示成熟度。</t>
        </is>
      </c>
      <c r="D18" s="22" t="inlineStr">
        <is>
          <t>必填</t>
        </is>
      </c>
    </row>
    <row r="19" ht="44" customHeight="1">
      <c r="A19" s="22" t="inlineStr">
        <is>
          <t>当前实现说明</t>
        </is>
      </c>
      <c r="B19" s="22" t="inlineStr">
        <is>
          <t>多行文本</t>
        </is>
      </c>
      <c r="C19" s="22" t="inlineStr">
        <is>
          <t>客观描述现在能演示到什么程度。</t>
        </is>
      </c>
      <c r="D19" s="22" t="inlineStr">
        <is>
          <t>建议</t>
        </is>
      </c>
    </row>
    <row r="20" ht="44" customHeight="1">
      <c r="A20" s="22" t="inlineStr">
        <is>
          <t>下一步动作</t>
        </is>
      </c>
      <c r="B20" s="22" t="inlineStr">
        <is>
          <t>多行文本</t>
        </is>
      </c>
      <c r="C20" s="22" t="inlineStr">
        <is>
          <t>最近一个明确可执行动作。</t>
        </is>
      </c>
      <c r="D20" s="22" t="inlineStr">
        <is>
          <t>建议</t>
        </is>
      </c>
    </row>
    <row r="21" ht="44" customHeight="1">
      <c r="A21" s="22" t="inlineStr">
        <is>
          <t>负责人</t>
        </is>
      </c>
      <c r="B21" s="22" t="inlineStr">
        <is>
          <t>人员</t>
        </is>
      </c>
      <c r="C21" s="22" t="inlineStr">
        <is>
          <t>对结果负责；未明确时保留“待认领”。</t>
        </is>
      </c>
      <c r="D21" s="22" t="inlineStr">
        <is>
          <t>必填</t>
        </is>
      </c>
    </row>
    <row r="22" ht="44" customHeight="1">
      <c r="A22" s="22" t="inlineStr">
        <is>
          <t>协作角色</t>
        </is>
      </c>
      <c r="B22" s="22" t="inlineStr">
        <is>
          <t>多选文本</t>
        </is>
      </c>
      <c r="C22" s="22" t="inlineStr">
        <is>
          <t>设计、前端、产品、测试、运维、业务代表等。</t>
        </is>
      </c>
      <c r="D22" s="22" t="inlineStr">
        <is>
          <t>建议</t>
        </is>
      </c>
    </row>
    <row r="23" ht="44" customHeight="1">
      <c r="A23" s="22" t="inlineStr">
        <is>
          <t>计划版本</t>
        </is>
      </c>
      <c r="B23" s="22" t="inlineStr">
        <is>
          <t>单选／文本</t>
        </is>
      </c>
      <c r="C23" s="22" t="inlineStr">
        <is>
          <t>所属演示里程碑。</t>
        </is>
      </c>
      <c r="D23" s="22" t="inlineStr">
        <is>
          <t>必填</t>
        </is>
      </c>
    </row>
    <row r="24" ht="44" customHeight="1">
      <c r="A24" s="22" t="inlineStr">
        <is>
          <t>排期状态</t>
        </is>
      </c>
      <c r="B24" s="22" t="inlineStr">
        <is>
          <t>单选</t>
        </is>
      </c>
      <c r="C24" s="22" t="inlineStr">
        <is>
          <t>区分已确认日期和建议日期，避免把初版路线图误认为承诺。</t>
        </is>
      </c>
      <c r="D24" s="22" t="inlineStr">
        <is>
          <t>必填</t>
        </is>
      </c>
    </row>
    <row r="25" ht="44" customHeight="1">
      <c r="A25" s="22" t="inlineStr">
        <is>
          <t>目标完成时间</t>
        </is>
      </c>
      <c r="B25" s="22" t="inlineStr">
        <is>
          <t>日期</t>
        </is>
      </c>
      <c r="C25" s="22" t="inlineStr">
        <is>
          <t>建议节奏需在评审后转为已确认。</t>
        </is>
      </c>
      <c r="D25" s="22" t="inlineStr">
        <is>
          <t>建议</t>
        </is>
      </c>
    </row>
    <row r="26" ht="44" customHeight="1">
      <c r="A26" s="22" t="inlineStr">
        <is>
          <t>设计稿</t>
        </is>
      </c>
      <c r="B26" s="22" t="inlineStr">
        <is>
          <t>URL</t>
        </is>
      </c>
      <c r="C26" s="22" t="inlineStr">
        <is>
          <t>链接到具体 Figma 节点，不只链接文件首页。</t>
        </is>
      </c>
      <c r="D26" s="22" t="inlineStr">
        <is>
          <t>建议</t>
        </is>
      </c>
    </row>
    <row r="27" ht="44" customHeight="1">
      <c r="A27" s="22" t="inlineStr">
        <is>
          <t>Demo 入口</t>
        </is>
      </c>
      <c r="B27" s="22" t="inlineStr">
        <is>
          <t>URL</t>
        </is>
      </c>
      <c r="C27" s="22" t="inlineStr">
        <is>
          <t>链接到可直接验证的页面。</t>
        </is>
      </c>
      <c r="D27" s="22" t="inlineStr">
        <is>
          <t>建议</t>
        </is>
      </c>
    </row>
    <row r="28" ht="44" customHeight="1">
      <c r="A28" s="22" t="inlineStr">
        <is>
          <t>验收标准</t>
        </is>
      </c>
      <c r="B28" s="22" t="inlineStr">
        <is>
          <t>多行文本</t>
        </is>
      </c>
      <c r="C28" s="22" t="inlineStr">
        <is>
          <t>描述完成的可观察条件，避免仅写“完成开发”。</t>
        </is>
      </c>
      <c r="D28" s="22" t="inlineStr">
        <is>
          <t>必填</t>
        </is>
      </c>
    </row>
    <row r="29" ht="44" customHeight="1">
      <c r="A29" s="22" t="inlineStr">
        <is>
          <t>依赖与风险</t>
        </is>
      </c>
      <c r="B29" s="22" t="inlineStr">
        <is>
          <t>多行文本</t>
        </is>
      </c>
      <c r="C29" s="22" t="inlineStr">
        <is>
          <t>记录设计、数据、组件、范围和跨部门决策依赖。</t>
        </is>
      </c>
      <c r="D29" s="22" t="inlineStr">
        <is>
          <t>建议</t>
        </is>
      </c>
    </row>
    <row r="30" ht="44" customHeight="1">
      <c r="A30" s="22" t="inlineStr">
        <is>
          <t>最新进展／阻塞项</t>
        </is>
      </c>
      <c r="B30" s="22" t="inlineStr">
        <is>
          <t>多行文本</t>
        </is>
      </c>
      <c r="C30" s="22" t="inlineStr">
        <is>
          <t>每次评审更新，明确是否需要外部决策。</t>
        </is>
      </c>
      <c r="D30" s="22" t="inlineStr">
        <is>
          <t>建议</t>
        </is>
      </c>
    </row>
    <row r="31" ht="44" customHeight="1">
      <c r="A31" s="22" t="inlineStr">
        <is>
          <t>验收结果</t>
        </is>
      </c>
      <c r="B31" s="22" t="inlineStr">
        <is>
          <t>单选</t>
        </is>
      </c>
      <c r="C31" s="22" t="inlineStr">
        <is>
          <t>未开始、待验收、通过、需修改、不适用。</t>
        </is>
      </c>
      <c r="D31" s="22" t="inlineStr">
        <is>
          <t>必填</t>
        </is>
      </c>
    </row>
    <row r="32" ht="44" customHeight="1">
      <c r="A32" s="22" t="inlineStr">
        <is>
          <t>实际完成时间</t>
        </is>
      </c>
      <c r="B32" s="22" t="inlineStr">
        <is>
          <t>日期</t>
        </is>
      </c>
      <c r="C32" s="22" t="inlineStr">
        <is>
          <t>用于统计交付节奏。</t>
        </is>
      </c>
      <c r="D32" s="22" t="inlineStr">
        <is>
          <t>完成时必填</t>
        </is>
      </c>
    </row>
    <row r="33" ht="44" customHeight="1">
      <c r="A33" s="22" t="inlineStr">
        <is>
          <t>最后更新时间</t>
        </is>
      </c>
      <c r="B33" s="22" t="inlineStr">
        <is>
          <t>自动日期</t>
        </is>
      </c>
      <c r="C33" s="22" t="inlineStr">
        <is>
          <t>判断信息是否陈旧。</t>
        </is>
      </c>
      <c r="D33" s="22" t="inlineStr">
        <is>
          <t>必填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2026-08-12T08:18:38Z</dcterms:created>
  <dcterms:modified xmlns:dcterms="http://purl.org/dc/terms/" xmlns:xsi="http://www.w3.org/2001/XMLSchema-instance" xsi:type="dcterms:W3CDTF">2026-08-12T08:18:38Z</dcterms:modified>
</cp:coreProperties>
</file>